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esponses" sheetId="2" state="visible" r:id="rId2"/>
    <sheet name="Feedback" sheetId="3" state="visible" r:id="rId3"/>
    <sheet name="Summary" sheetId="4" state="visible" r:id="rId4"/>
    <sheet name="Item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;-0;;@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7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5" fillId="4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0" fontId="6" fillId="5" borderId="1" pivotButton="0" quotePrefix="0" xfId="0"/>
    <xf numFmtId="0" fontId="5" fillId="4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SmartFlow UAT encoding workbook (ISO/IEC 25010)</t>
        </is>
      </c>
    </row>
    <row r="2">
      <c r="A2" s="2" t="inlineStr">
        <is>
          <t>Prepared 26 October 2026 for the 12 November 2026 defense. Blank template: it contains no scores.</t>
        </is>
      </c>
    </row>
    <row r="4">
      <c r="A4" s="3" t="inlineStr">
        <is>
          <t>Where to type</t>
        </is>
      </c>
      <c r="B4" s="4" t="n"/>
    </row>
    <row r="5">
      <c r="A5" s="5" t="inlineStr">
        <is>
          <t>Yellow cells with blue text</t>
        </is>
      </c>
      <c r="B5" s="6" t="inlineStr">
        <is>
          <t>Type here: Responses, Feedback, the scale on Summary, and the method choice on Summary.</t>
        </is>
      </c>
    </row>
    <row r="6">
      <c r="A6" s="7" t="inlineStr">
        <is>
          <t>Grey or white cells</t>
        </is>
      </c>
      <c r="B6" s="6" t="inlineStr">
        <is>
          <t>Formulas. Do not overwrite them.</t>
        </is>
      </c>
    </row>
    <row r="7">
      <c r="A7" s="3" t="inlineStr">
        <is>
          <t>Steps</t>
        </is>
      </c>
      <c r="B7" s="4" t="n"/>
    </row>
    <row r="8">
      <c r="A8" s="7" t="inlineStr">
        <is>
          <t>1</t>
        </is>
      </c>
      <c r="B8" s="6" t="inlineStr">
        <is>
          <t>After each respondent finishes the questionnaire, add one row on Responses (Resp ID, role, office, device, session type, date, then the 27 scores).</t>
        </is>
      </c>
    </row>
    <row r="9">
      <c r="A9" s="7" t="inlineStr">
        <is>
          <t>2</t>
        </is>
      </c>
      <c r="B9" s="6" t="inlineStr">
        <is>
          <t>Copy the open answers (Part C) to Feedback under the same Resp ID.</t>
        </is>
      </c>
    </row>
    <row r="10">
      <c r="A10" s="7" t="inlineStr">
        <is>
          <t>3</t>
        </is>
      </c>
      <c r="B10" s="6" t="inlineStr">
        <is>
          <t>Check the Check column on Responses. 'Incomplete' means some items are blank; confirm with the paper or form before leaving it.</t>
        </is>
      </c>
    </row>
    <row r="11">
      <c r="A11" s="7" t="inlineStr">
        <is>
          <t>4</t>
        </is>
      </c>
      <c r="B11" s="6" t="inlineStr">
        <is>
          <t>Read Summary: Table 5.2 (respondents), Table 5.4 (WM and interpretation per characteristic and overall). Item_Results has every item's mean.</t>
        </is>
      </c>
    </row>
    <row r="12">
      <c r="A12" s="7" t="inlineStr">
        <is>
          <t>5</t>
        </is>
      </c>
      <c r="B12" s="6" t="inlineStr">
        <is>
          <t>Copy the numbers into docs/thesis/chapter-5-results-and-discussion.md (Tables 5.2 and 5.4). Choose the overall method on Summary and state it in Chapter 5; the sentence in Summary row 49 can be pasted.</t>
        </is>
      </c>
    </row>
    <row r="13">
      <c r="A13" s="3" t="inlineStr">
        <is>
          <t>Rules</t>
        </is>
      </c>
      <c r="B13" s="4" t="n"/>
    </row>
    <row r="14">
      <c r="A14" s="7" t="inlineStr">
        <is>
          <t>No invented scores</t>
        </is>
      </c>
      <c r="B14" s="6" t="inlineStr">
        <is>
          <t>Leave a cell blank until the respondent answered. Blank cells are ignored, never treated as zero.</t>
        </is>
      </c>
    </row>
    <row r="15">
      <c r="A15" s="7" t="inlineStr">
        <is>
          <t>Who counts</t>
        </is>
      </c>
      <c r="B15" s="6" t="inlineStr">
        <is>
          <t>A respondent is counted when at least one item is answered. The instrument suggests about 4 to 7 respondents for a small LGU pilot, if the adviser agrees.</t>
        </is>
      </c>
    </row>
    <row r="16">
      <c r="A16" s="7" t="inlineStr">
        <is>
          <t>Honest session wording</t>
        </is>
      </c>
      <c r="B16" s="6" t="inlineStr">
        <is>
          <t>If the session was a remote demonstration, write that in Chapter 4 and 5 (see docs/thesis/appendix-iso-25010-survey.md). Do not write that the system is deployed or in daily use unless it is.</t>
        </is>
      </c>
    </row>
    <row r="17">
      <c r="A17" s="3" t="inlineStr">
        <is>
          <t>Sources</t>
        </is>
      </c>
      <c r="B17" s="4" t="n"/>
    </row>
    <row r="18">
      <c r="A18" s="7" t="inlineStr">
        <is>
          <t>Items and instructions</t>
        </is>
      </c>
      <c r="B18" s="6" t="inlineStr">
        <is>
          <t>docs/thesis/appendix-iso-25010-survey.md (27 items, 5-point Likert, encoding method).</t>
        </is>
      </c>
    </row>
    <row r="19">
      <c r="A19" s="7" t="inlineStr">
        <is>
          <t>Interpretation scale</t>
        </is>
      </c>
      <c r="B19" s="6" t="inlineStr">
        <is>
          <t>docs/thesis/chapter-5-results-and-discussion.md, Table 5.3 (scale approved by the research adviser).</t>
        </is>
      </c>
    </row>
    <row r="20"/>
    <row r="21">
      <c r="A21" s="8" t="inlineStr">
        <is>
          <t>Example of one respondent row (EXAMPLE ONLY: not data, not counted, do not copy the scores)</t>
        </is>
      </c>
    </row>
    <row r="22">
      <c r="A22" s="9" t="inlineStr">
        <is>
          <t>Field</t>
        </is>
      </c>
      <c r="B22" s="9" t="inlineStr">
        <is>
          <t>Example value and format</t>
        </is>
      </c>
    </row>
    <row r="23">
      <c r="A23" s="10" t="inlineStr">
        <is>
          <t>Resp ID</t>
        </is>
      </c>
      <c r="B23" s="11" t="inlineStr">
        <is>
          <t>R01 (already filled; one row per respondent)</t>
        </is>
      </c>
    </row>
    <row r="24">
      <c r="A24" s="10" t="inlineStr">
        <is>
          <t>Role</t>
        </is>
      </c>
      <c r="B24" s="11" t="inlineStr">
        <is>
          <t>Clerk / staff (pick from the list)</t>
        </is>
      </c>
    </row>
    <row r="25">
      <c r="A25" s="10" t="inlineStr">
        <is>
          <t>Office</t>
        </is>
      </c>
      <c r="B25" s="11" t="inlineStr">
        <is>
          <t>ACC (pick from the list)</t>
        </is>
      </c>
    </row>
    <row r="26">
      <c r="A26" s="10" t="inlineStr">
        <is>
          <t>Device used</t>
        </is>
      </c>
      <c r="B26" s="11" t="inlineStr">
        <is>
          <t>Web (browser) (pick from the list)</t>
        </is>
      </c>
    </row>
    <row r="27">
      <c r="A27" s="10" t="inlineStr">
        <is>
          <t>Session type</t>
        </is>
      </c>
      <c r="B27" s="11" t="inlineStr">
        <is>
          <t>Remote call (pick from the list)</t>
        </is>
      </c>
    </row>
    <row r="28">
      <c r="A28" s="10" t="inlineStr">
        <is>
          <t>Date (yyyy-mm-dd)</t>
        </is>
      </c>
      <c r="B28" s="11" t="inlineStr">
        <is>
          <t>2026-11-03</t>
        </is>
      </c>
    </row>
    <row r="29">
      <c r="A29" s="10" t="inlineStr">
        <is>
          <t>FS1 to PO3</t>
        </is>
      </c>
      <c r="B29" s="11" t="inlineStr">
        <is>
          <t>A whole number from 1 to 5 for each item, for example 4. Blank = not answered.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5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17" customWidth="1" min="4" max="4"/>
    <col width="15" customWidth="1" min="5" max="5"/>
    <col width="17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10" customWidth="1" min="34" max="34"/>
    <col width="22" customWidth="1" min="35" max="35"/>
  </cols>
  <sheetData>
    <row r="1">
      <c r="A1" s="1" t="inlineStr">
        <is>
          <t>SmartFlow UAT: respondent answers (ISO/IEC 25010)</t>
        </is>
      </c>
    </row>
    <row r="2">
      <c r="A2" s="2" t="inlineStr">
        <is>
          <t>Type each respondent's answers in the yellow cells. 5 = Strongly Agree, 4 = Agree, 3 = Uncertain, 2 = Disagree, 1 = Strongly Disagree. Leave a cell blank when the respondent did not answer; never estimate a score.</t>
        </is>
      </c>
    </row>
    <row r="3">
      <c r="A3" s="2" t="inlineStr">
        <is>
          <t>Grey cells are formulas. A respondent is counted once at least one item is answered.</t>
        </is>
      </c>
    </row>
    <row r="4" ht="30" customHeight="1">
      <c r="G4" s="12" t="inlineStr">
        <is>
          <t>Functional suitability</t>
        </is>
      </c>
      <c r="H4" s="13" t="n"/>
      <c r="I4" s="13" t="n"/>
      <c r="J4" s="13" t="n"/>
      <c r="K4" s="12" t="inlineStr">
        <is>
          <t>Performance efficiency</t>
        </is>
      </c>
      <c r="L4" s="13" t="n"/>
      <c r="M4" s="13" t="n"/>
      <c r="N4" s="12" t="inlineStr">
        <is>
          <t>Compatibility</t>
        </is>
      </c>
      <c r="O4" s="13" t="n"/>
      <c r="P4" s="13" t="n"/>
      <c r="Q4" s="12" t="inlineStr">
        <is>
          <t>Usability</t>
        </is>
      </c>
      <c r="R4" s="13" t="n"/>
      <c r="S4" s="13" t="n"/>
      <c r="T4" s="13" t="n"/>
      <c r="U4" s="12" t="inlineStr">
        <is>
          <t>Reliability</t>
        </is>
      </c>
      <c r="V4" s="13" t="n"/>
      <c r="W4" s="13" t="n"/>
      <c r="X4" s="12" t="inlineStr">
        <is>
          <t>Security</t>
        </is>
      </c>
      <c r="Y4" s="13" t="n"/>
      <c r="Z4" s="13" t="n"/>
      <c r="AA4" s="13" t="n"/>
      <c r="AB4" s="12" t="inlineStr">
        <is>
          <t>Maintainability</t>
        </is>
      </c>
      <c r="AC4" s="13" t="n"/>
      <c r="AD4" s="13" t="n"/>
      <c r="AE4" s="12" t="inlineStr">
        <is>
          <t>Portability</t>
        </is>
      </c>
      <c r="AF4" s="13" t="n"/>
      <c r="AG4" s="13" t="n"/>
    </row>
    <row r="5" ht="30" customHeight="1">
      <c r="A5" s="9" t="inlineStr">
        <is>
          <t>Resp ID</t>
        </is>
      </c>
      <c r="B5" s="9" t="inlineStr">
        <is>
          <t>Role</t>
        </is>
      </c>
      <c r="C5" s="9" t="inlineStr">
        <is>
          <t>Office</t>
        </is>
      </c>
      <c r="D5" s="9" t="inlineStr">
        <is>
          <t>Device used</t>
        </is>
      </c>
      <c r="E5" s="9" t="inlineStr">
        <is>
          <t>Session type</t>
        </is>
      </c>
      <c r="F5" s="9" t="inlineStr">
        <is>
          <t>Date (yyyy-mm-dd)</t>
        </is>
      </c>
      <c r="G5" s="9" t="inlineStr">
        <is>
          <t>FS1</t>
        </is>
      </c>
      <c r="H5" s="9" t="inlineStr">
        <is>
          <t>FS2</t>
        </is>
      </c>
      <c r="I5" s="9" t="inlineStr">
        <is>
          <t>FS3</t>
        </is>
      </c>
      <c r="J5" s="9" t="inlineStr">
        <is>
          <t>FS4</t>
        </is>
      </c>
      <c r="K5" s="9" t="inlineStr">
        <is>
          <t>PE1</t>
        </is>
      </c>
      <c r="L5" s="9" t="inlineStr">
        <is>
          <t>PE2</t>
        </is>
      </c>
      <c r="M5" s="9" t="inlineStr">
        <is>
          <t>PE3</t>
        </is>
      </c>
      <c r="N5" s="9" t="inlineStr">
        <is>
          <t>CO1</t>
        </is>
      </c>
      <c r="O5" s="9" t="inlineStr">
        <is>
          <t>CO2</t>
        </is>
      </c>
      <c r="P5" s="9" t="inlineStr">
        <is>
          <t>CO3</t>
        </is>
      </c>
      <c r="Q5" s="9" t="inlineStr">
        <is>
          <t>US1</t>
        </is>
      </c>
      <c r="R5" s="9" t="inlineStr">
        <is>
          <t>US2</t>
        </is>
      </c>
      <c r="S5" s="9" t="inlineStr">
        <is>
          <t>US3</t>
        </is>
      </c>
      <c r="T5" s="9" t="inlineStr">
        <is>
          <t>US4</t>
        </is>
      </c>
      <c r="U5" s="9" t="inlineStr">
        <is>
          <t>RE1</t>
        </is>
      </c>
      <c r="V5" s="9" t="inlineStr">
        <is>
          <t>RE2</t>
        </is>
      </c>
      <c r="W5" s="9" t="inlineStr">
        <is>
          <t>RE3</t>
        </is>
      </c>
      <c r="X5" s="9" t="inlineStr">
        <is>
          <t>SE1</t>
        </is>
      </c>
      <c r="Y5" s="9" t="inlineStr">
        <is>
          <t>SE2</t>
        </is>
      </c>
      <c r="Z5" s="9" t="inlineStr">
        <is>
          <t>SE3</t>
        </is>
      </c>
      <c r="AA5" s="9" t="inlineStr">
        <is>
          <t>SE4</t>
        </is>
      </c>
      <c r="AB5" s="9" t="inlineStr">
        <is>
          <t>MA1</t>
        </is>
      </c>
      <c r="AC5" s="9" t="inlineStr">
        <is>
          <t>MA2</t>
        </is>
      </c>
      <c r="AD5" s="9" t="inlineStr">
        <is>
          <t>MA3</t>
        </is>
      </c>
      <c r="AE5" s="9" t="inlineStr">
        <is>
          <t>PO1</t>
        </is>
      </c>
      <c r="AF5" s="9" t="inlineStr">
        <is>
          <t>PO2</t>
        </is>
      </c>
      <c r="AG5" s="9" t="inlineStr">
        <is>
          <t>PO3</t>
        </is>
      </c>
      <c r="AH5" s="9" t="inlineStr">
        <is>
          <t>Items answered</t>
        </is>
      </c>
      <c r="AI5" s="9" t="inlineStr">
        <is>
          <t>Check</t>
        </is>
      </c>
    </row>
    <row r="6">
      <c r="A6" s="14" t="inlineStr">
        <is>
          <t>R01</t>
        </is>
      </c>
      <c r="B6" s="14" t="n"/>
      <c r="C6" s="14" t="n"/>
      <c r="D6" s="14" t="n"/>
      <c r="E6" s="14" t="n"/>
      <c r="F6" s="15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7">
        <f>COUNT(G6:AG6)</f>
        <v/>
      </c>
      <c r="AI6" s="18">
        <f>IF(AH6=0,"",IF(AH6=27,"OK","Incomplete: "&amp;(27-AH6)&amp;" blank"))</f>
        <v/>
      </c>
    </row>
    <row r="7">
      <c r="A7" s="14" t="inlineStr">
        <is>
          <t>R02</t>
        </is>
      </c>
      <c r="B7" s="14" t="n"/>
      <c r="C7" s="14" t="n"/>
      <c r="D7" s="14" t="n"/>
      <c r="E7" s="14" t="n"/>
      <c r="F7" s="15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7">
        <f>COUNT(G7:AG7)</f>
        <v/>
      </c>
      <c r="AI7" s="18">
        <f>IF(AH7=0,"",IF(AH7=27,"OK","Incomplete: "&amp;(27-AH7)&amp;" blank"))</f>
        <v/>
      </c>
    </row>
    <row r="8">
      <c r="A8" s="14" t="inlineStr">
        <is>
          <t>R03</t>
        </is>
      </c>
      <c r="B8" s="14" t="n"/>
      <c r="C8" s="14" t="n"/>
      <c r="D8" s="14" t="n"/>
      <c r="E8" s="14" t="n"/>
      <c r="F8" s="15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7">
        <f>COUNT(G8:AG8)</f>
        <v/>
      </c>
      <c r="AI8" s="18">
        <f>IF(AH8=0,"",IF(AH8=27,"OK","Incomplete: "&amp;(27-AH8)&amp;" blank"))</f>
        <v/>
      </c>
    </row>
    <row r="9">
      <c r="A9" s="14" t="inlineStr">
        <is>
          <t>R04</t>
        </is>
      </c>
      <c r="B9" s="14" t="n"/>
      <c r="C9" s="14" t="n"/>
      <c r="D9" s="14" t="n"/>
      <c r="E9" s="14" t="n"/>
      <c r="F9" s="15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7">
        <f>COUNT(G9:AG9)</f>
        <v/>
      </c>
      <c r="AI9" s="18">
        <f>IF(AH9=0,"",IF(AH9=27,"OK","Incomplete: "&amp;(27-AH9)&amp;" blank"))</f>
        <v/>
      </c>
    </row>
    <row r="10">
      <c r="A10" s="14" t="inlineStr">
        <is>
          <t>R05</t>
        </is>
      </c>
      <c r="B10" s="14" t="n"/>
      <c r="C10" s="14" t="n"/>
      <c r="D10" s="14" t="n"/>
      <c r="E10" s="14" t="n"/>
      <c r="F10" s="15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7">
        <f>COUNT(G10:AG10)</f>
        <v/>
      </c>
      <c r="AI10" s="18">
        <f>IF(AH10=0,"",IF(AH10=27,"OK","Incomplete: "&amp;(27-AH10)&amp;" blank"))</f>
        <v/>
      </c>
    </row>
    <row r="11">
      <c r="A11" s="14" t="inlineStr">
        <is>
          <t>R06</t>
        </is>
      </c>
      <c r="B11" s="14" t="n"/>
      <c r="C11" s="14" t="n"/>
      <c r="D11" s="14" t="n"/>
      <c r="E11" s="14" t="n"/>
      <c r="F11" s="15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7">
        <f>COUNT(G11:AG11)</f>
        <v/>
      </c>
      <c r="AI11" s="18">
        <f>IF(AH11=0,"",IF(AH11=27,"OK","Incomplete: "&amp;(27-AH11)&amp;" blank"))</f>
        <v/>
      </c>
    </row>
    <row r="12">
      <c r="A12" s="14" t="inlineStr">
        <is>
          <t>R07</t>
        </is>
      </c>
      <c r="B12" s="14" t="n"/>
      <c r="C12" s="14" t="n"/>
      <c r="D12" s="14" t="n"/>
      <c r="E12" s="14" t="n"/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7">
        <f>COUNT(G12:AG12)</f>
        <v/>
      </c>
      <c r="AI12" s="18">
        <f>IF(AH12=0,"",IF(AH12=27,"OK","Incomplete: "&amp;(27-AH12)&amp;" blank"))</f>
        <v/>
      </c>
    </row>
    <row r="13">
      <c r="A13" s="14" t="inlineStr">
        <is>
          <t>R08</t>
        </is>
      </c>
      <c r="B13" s="14" t="n"/>
      <c r="C13" s="14" t="n"/>
      <c r="D13" s="14" t="n"/>
      <c r="E13" s="14" t="n"/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7">
        <f>COUNT(G13:AG13)</f>
        <v/>
      </c>
      <c r="AI13" s="18">
        <f>IF(AH13=0,"",IF(AH13=27,"OK","Incomplete: "&amp;(27-AH13)&amp;" blank"))</f>
        <v/>
      </c>
    </row>
    <row r="14">
      <c r="A14" s="14" t="inlineStr">
        <is>
          <t>R09</t>
        </is>
      </c>
      <c r="B14" s="14" t="n"/>
      <c r="C14" s="14" t="n"/>
      <c r="D14" s="14" t="n"/>
      <c r="E14" s="14" t="n"/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7">
        <f>COUNT(G14:AG14)</f>
        <v/>
      </c>
      <c r="AI14" s="18">
        <f>IF(AH14=0,"",IF(AH14=27,"OK","Incomplete: "&amp;(27-AH14)&amp;" blank"))</f>
        <v/>
      </c>
    </row>
    <row r="15">
      <c r="A15" s="14" t="inlineStr">
        <is>
          <t>R10</t>
        </is>
      </c>
      <c r="B15" s="14" t="n"/>
      <c r="C15" s="14" t="n"/>
      <c r="D15" s="14" t="n"/>
      <c r="E15" s="14" t="n"/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7">
        <f>COUNT(G15:AG15)</f>
        <v/>
      </c>
      <c r="AI15" s="18">
        <f>IF(AH15=0,"",IF(AH15=27,"OK","Incomplete: "&amp;(27-AH15)&amp;" blank"))</f>
        <v/>
      </c>
    </row>
    <row r="16">
      <c r="A16" s="14" t="inlineStr">
        <is>
          <t>R11</t>
        </is>
      </c>
      <c r="B16" s="14" t="n"/>
      <c r="C16" s="14" t="n"/>
      <c r="D16" s="14" t="n"/>
      <c r="E16" s="14" t="n"/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7">
        <f>COUNT(G16:AG16)</f>
        <v/>
      </c>
      <c r="AI16" s="18">
        <f>IF(AH16=0,"",IF(AH16=27,"OK","Incomplete: "&amp;(27-AH16)&amp;" blank"))</f>
        <v/>
      </c>
    </row>
    <row r="17">
      <c r="A17" s="14" t="inlineStr">
        <is>
          <t>R12</t>
        </is>
      </c>
      <c r="B17" s="14" t="n"/>
      <c r="C17" s="14" t="n"/>
      <c r="D17" s="14" t="n"/>
      <c r="E17" s="14" t="n"/>
      <c r="F17" s="15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7">
        <f>COUNT(G17:AG17)</f>
        <v/>
      </c>
      <c r="AI17" s="18">
        <f>IF(AH17=0,"",IF(AH17=27,"OK","Incomplete: "&amp;(27-AH17)&amp;" blank"))</f>
        <v/>
      </c>
    </row>
    <row r="18">
      <c r="A18" s="14" t="inlineStr">
        <is>
          <t>R13</t>
        </is>
      </c>
      <c r="B18" s="14" t="n"/>
      <c r="C18" s="14" t="n"/>
      <c r="D18" s="14" t="n"/>
      <c r="E18" s="14" t="n"/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7">
        <f>COUNT(G18:AG18)</f>
        <v/>
      </c>
      <c r="AI18" s="18">
        <f>IF(AH18=0,"",IF(AH18=27,"OK","Incomplete: "&amp;(27-AH18)&amp;" blank"))</f>
        <v/>
      </c>
    </row>
    <row r="19">
      <c r="A19" s="14" t="inlineStr">
        <is>
          <t>R14</t>
        </is>
      </c>
      <c r="B19" s="14" t="n"/>
      <c r="C19" s="14" t="n"/>
      <c r="D19" s="14" t="n"/>
      <c r="E19" s="14" t="n"/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7">
        <f>COUNT(G19:AG19)</f>
        <v/>
      </c>
      <c r="AI19" s="18">
        <f>IF(AH19=0,"",IF(AH19=27,"OK","Incomplete: "&amp;(27-AH19)&amp;" blank"))</f>
        <v/>
      </c>
    </row>
    <row r="20">
      <c r="A20" s="14" t="inlineStr">
        <is>
          <t>R15</t>
        </is>
      </c>
      <c r="B20" s="14" t="n"/>
      <c r="C20" s="14" t="n"/>
      <c r="D20" s="14" t="n"/>
      <c r="E20" s="14" t="n"/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7">
        <f>COUNT(G20:AG20)</f>
        <v/>
      </c>
      <c r="AI20" s="18">
        <f>IF(AH20=0,"",IF(AH20=27,"OK","Incomplete: "&amp;(27-AH20)&amp;" blank"))</f>
        <v/>
      </c>
    </row>
    <row r="21">
      <c r="A21" s="14" t="inlineStr">
        <is>
          <t>R16</t>
        </is>
      </c>
      <c r="B21" s="14" t="n"/>
      <c r="C21" s="14" t="n"/>
      <c r="D21" s="14" t="n"/>
      <c r="E21" s="14" t="n"/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7">
        <f>COUNT(G21:AG21)</f>
        <v/>
      </c>
      <c r="AI21" s="18">
        <f>IF(AH21=0,"",IF(AH21=27,"OK","Incomplete: "&amp;(27-AH21)&amp;" blank"))</f>
        <v/>
      </c>
    </row>
    <row r="22">
      <c r="A22" s="14" t="inlineStr">
        <is>
          <t>R17</t>
        </is>
      </c>
      <c r="B22" s="14" t="n"/>
      <c r="C22" s="14" t="n"/>
      <c r="D22" s="14" t="n"/>
      <c r="E22" s="14" t="n"/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7">
        <f>COUNT(G22:AG22)</f>
        <v/>
      </c>
      <c r="AI22" s="18">
        <f>IF(AH22=0,"",IF(AH22=27,"OK","Incomplete: "&amp;(27-AH22)&amp;" blank"))</f>
        <v/>
      </c>
    </row>
    <row r="23">
      <c r="A23" s="14" t="inlineStr">
        <is>
          <t>R18</t>
        </is>
      </c>
      <c r="B23" s="14" t="n"/>
      <c r="C23" s="14" t="n"/>
      <c r="D23" s="14" t="n"/>
      <c r="E23" s="14" t="n"/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7">
        <f>COUNT(G23:AG23)</f>
        <v/>
      </c>
      <c r="AI23" s="18">
        <f>IF(AH23=0,"",IF(AH23=27,"OK","Incomplete: "&amp;(27-AH23)&amp;" blank"))</f>
        <v/>
      </c>
    </row>
    <row r="24">
      <c r="A24" s="14" t="inlineStr">
        <is>
          <t>R19</t>
        </is>
      </c>
      <c r="B24" s="14" t="n"/>
      <c r="C24" s="14" t="n"/>
      <c r="D24" s="14" t="n"/>
      <c r="E24" s="14" t="n"/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7">
        <f>COUNT(G24:AG24)</f>
        <v/>
      </c>
      <c r="AI24" s="18">
        <f>IF(AH24=0,"",IF(AH24=27,"OK","Incomplete: "&amp;(27-AH24)&amp;" blank"))</f>
        <v/>
      </c>
    </row>
    <row r="25">
      <c r="A25" s="14" t="inlineStr">
        <is>
          <t>R20</t>
        </is>
      </c>
      <c r="B25" s="14" t="n"/>
      <c r="C25" s="14" t="n"/>
      <c r="D25" s="14" t="n"/>
      <c r="E25" s="14" t="n"/>
      <c r="F25" s="15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7">
        <f>COUNT(G25:AG25)</f>
        <v/>
      </c>
      <c r="AI25" s="18">
        <f>IF(AH25=0,"",IF(AH25=27,"OK","Incomplete: "&amp;(27-AH25)&amp;" blank"))</f>
        <v/>
      </c>
    </row>
    <row r="26">
      <c r="A26" s="14" t="inlineStr">
        <is>
          <t>R21</t>
        </is>
      </c>
      <c r="B26" s="14" t="n"/>
      <c r="C26" s="14" t="n"/>
      <c r="D26" s="14" t="n"/>
      <c r="E26" s="14" t="n"/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7">
        <f>COUNT(G26:AG26)</f>
        <v/>
      </c>
      <c r="AI26" s="18">
        <f>IF(AH26=0,"",IF(AH26=27,"OK","Incomplete: "&amp;(27-AH26)&amp;" blank"))</f>
        <v/>
      </c>
    </row>
    <row r="27">
      <c r="A27" s="14" t="inlineStr">
        <is>
          <t>R22</t>
        </is>
      </c>
      <c r="B27" s="14" t="n"/>
      <c r="C27" s="14" t="n"/>
      <c r="D27" s="14" t="n"/>
      <c r="E27" s="14" t="n"/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7">
        <f>COUNT(G27:AG27)</f>
        <v/>
      </c>
      <c r="AI27" s="18">
        <f>IF(AH27=0,"",IF(AH27=27,"OK","Incomplete: "&amp;(27-AH27)&amp;" blank"))</f>
        <v/>
      </c>
    </row>
    <row r="28">
      <c r="A28" s="14" t="inlineStr">
        <is>
          <t>R23</t>
        </is>
      </c>
      <c r="B28" s="14" t="n"/>
      <c r="C28" s="14" t="n"/>
      <c r="D28" s="14" t="n"/>
      <c r="E28" s="14" t="n"/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7">
        <f>COUNT(G28:AG28)</f>
        <v/>
      </c>
      <c r="AI28" s="18">
        <f>IF(AH28=0,"",IF(AH28=27,"OK","Incomplete: "&amp;(27-AH28)&amp;" blank"))</f>
        <v/>
      </c>
    </row>
    <row r="29">
      <c r="A29" s="14" t="inlineStr">
        <is>
          <t>R24</t>
        </is>
      </c>
      <c r="B29" s="14" t="n"/>
      <c r="C29" s="14" t="n"/>
      <c r="D29" s="14" t="n"/>
      <c r="E29" s="14" t="n"/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7">
        <f>COUNT(G29:AG29)</f>
        <v/>
      </c>
      <c r="AI29" s="18">
        <f>IF(AH29=0,"",IF(AH29=27,"OK","Incomplete: "&amp;(27-AH29)&amp;" blank"))</f>
        <v/>
      </c>
    </row>
    <row r="30">
      <c r="A30" s="14" t="inlineStr">
        <is>
          <t>R25</t>
        </is>
      </c>
      <c r="B30" s="14" t="n"/>
      <c r="C30" s="14" t="n"/>
      <c r="D30" s="14" t="n"/>
      <c r="E30" s="14" t="n"/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7">
        <f>COUNT(G30:AG30)</f>
        <v/>
      </c>
      <c r="AI30" s="18">
        <f>IF(AH30=0,"",IF(AH30=27,"OK","Incomplete: "&amp;(27-AH30)&amp;" blank"))</f>
        <v/>
      </c>
    </row>
    <row r="31">
      <c r="A31" s="14" t="inlineStr">
        <is>
          <t>R26</t>
        </is>
      </c>
      <c r="B31" s="14" t="n"/>
      <c r="C31" s="14" t="n"/>
      <c r="D31" s="14" t="n"/>
      <c r="E31" s="14" t="n"/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7">
        <f>COUNT(G31:AG31)</f>
        <v/>
      </c>
      <c r="AI31" s="18">
        <f>IF(AH31=0,"",IF(AH31=27,"OK","Incomplete: "&amp;(27-AH31)&amp;" blank"))</f>
        <v/>
      </c>
    </row>
    <row r="32">
      <c r="A32" s="14" t="inlineStr">
        <is>
          <t>R27</t>
        </is>
      </c>
      <c r="B32" s="14" t="n"/>
      <c r="C32" s="14" t="n"/>
      <c r="D32" s="14" t="n"/>
      <c r="E32" s="14" t="n"/>
      <c r="F32" s="15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7">
        <f>COUNT(G32:AG32)</f>
        <v/>
      </c>
      <c r="AI32" s="18">
        <f>IF(AH32=0,"",IF(AH32=27,"OK","Incomplete: "&amp;(27-AH32)&amp;" blank"))</f>
        <v/>
      </c>
    </row>
    <row r="33">
      <c r="A33" s="14" t="inlineStr">
        <is>
          <t>R28</t>
        </is>
      </c>
      <c r="B33" s="14" t="n"/>
      <c r="C33" s="14" t="n"/>
      <c r="D33" s="14" t="n"/>
      <c r="E33" s="14" t="n"/>
      <c r="F33" s="15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7">
        <f>COUNT(G33:AG33)</f>
        <v/>
      </c>
      <c r="AI33" s="18">
        <f>IF(AH33=0,"",IF(AH33=27,"OK","Incomplete: "&amp;(27-AH33)&amp;" blank"))</f>
        <v/>
      </c>
    </row>
    <row r="34">
      <c r="A34" s="14" t="inlineStr">
        <is>
          <t>R29</t>
        </is>
      </c>
      <c r="B34" s="14" t="n"/>
      <c r="C34" s="14" t="n"/>
      <c r="D34" s="14" t="n"/>
      <c r="E34" s="14" t="n"/>
      <c r="F34" s="15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7">
        <f>COUNT(G34:AG34)</f>
        <v/>
      </c>
      <c r="AI34" s="18">
        <f>IF(AH34=0,"",IF(AH34=27,"OK","Incomplete: "&amp;(27-AH34)&amp;" blank"))</f>
        <v/>
      </c>
    </row>
    <row r="35">
      <c r="A35" s="14" t="inlineStr">
        <is>
          <t>R30</t>
        </is>
      </c>
      <c r="B35" s="14" t="n"/>
      <c r="C35" s="14" t="n"/>
      <c r="D35" s="14" t="n"/>
      <c r="E35" s="14" t="n"/>
      <c r="F35" s="15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7">
        <f>COUNT(G35:AG35)</f>
        <v/>
      </c>
      <c r="AI35" s="18">
        <f>IF(AH35=0,"",IF(AH35=27,"OK","Incomplete: "&amp;(27-AH35)&amp;" blank"))</f>
        <v/>
      </c>
    </row>
  </sheetData>
  <mergeCells count="8">
    <mergeCell ref="Q4:T4"/>
    <mergeCell ref="K4:M4"/>
    <mergeCell ref="G4:J4"/>
    <mergeCell ref="X4:AA4"/>
    <mergeCell ref="U4:W4"/>
    <mergeCell ref="AB4:AD4"/>
    <mergeCell ref="N4:P4"/>
    <mergeCell ref="AE4:AG4"/>
  </mergeCells>
  <conditionalFormatting sqref="AI6:AI35">
    <cfRule type="expression" priority="1" dxfId="0">
      <formula>LEFT($AI6,10)="Incomplete"</formula>
    </cfRule>
  </conditionalFormatting>
  <dataValidations count="5">
    <dataValidation sqref="B6:B35" showDropDown="0" showInputMessage="0" showErrorMessage="0" allowBlank="1" type="list">
      <formula1>"Municipal Accountant / admin,Department head,Clerk / staff,Other"</formula1>
    </dataValidation>
    <dataValidation sqref="C6:C35" showDropDown="0" showInputMessage="0" showErrorMessage="0" allowBlank="1" type="list">
      <formula1>"ENG,HR,BUD,ACC,TRE,MAY,Other"</formula1>
    </dataValidation>
    <dataValidation sqref="D6:D35" showDropDown="0" showInputMessage="0" showErrorMessage="0" allowBlank="1" type="list">
      <formula1>"Web (browser),Android (Flutter),Both"</formula1>
    </dataValidation>
    <dataValidation sqref="E6:E35" showDropDown="0" showInputMessage="0" showErrorMessage="0" allowBlank="1" type="list">
      <formula1>"Live demo,Remote call,Recorded video,On-site"</formula1>
    </dataValidation>
    <dataValidation sqref="G6:AG35" showDropDown="0" showInputMessage="0" showErrorMessage="1" allowBlank="1" errorTitle="Score must be 1 to 5" error="Enter a whole number from 1 (Strongly Disagree) to 5 (Strongly Agree), or leave the cell blank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8" customWidth="1" min="3" max="3"/>
    <col width="38" customWidth="1" min="4" max="4"/>
    <col width="16" customWidth="1" min="5" max="5"/>
    <col width="38" customWidth="1" min="6" max="6"/>
  </cols>
  <sheetData>
    <row r="1">
      <c r="A1" s="1" t="inlineStr">
        <is>
          <t>SmartFlow UAT: open feedback (Part C of the questionnaire)</t>
        </is>
      </c>
    </row>
    <row r="2">
      <c r="A2" s="2" t="inlineStr">
        <is>
          <t>Type each respondent's own words. Use the same Resp ID as on the Responses sheet.</t>
        </is>
      </c>
    </row>
    <row r="4">
      <c r="A4" s="9" t="inlineStr">
        <is>
          <t>Resp ID</t>
        </is>
      </c>
      <c r="B4" s="9" t="inlineStr">
        <is>
          <t>What did you like most?</t>
        </is>
      </c>
      <c r="C4" s="9" t="inlineStr">
        <is>
          <t>What was confusing or hard?</t>
        </is>
      </c>
      <c r="D4" s="9" t="inlineStr">
        <is>
          <t>What should be improved before wider use?</t>
        </is>
      </c>
      <c r="E4" s="9" t="inlineStr">
        <is>
          <t>Recommend for pilot use?</t>
        </is>
      </c>
      <c r="F4" s="9" t="inlineStr">
        <is>
          <t>Why?</t>
        </is>
      </c>
    </row>
    <row r="5">
      <c r="A5" s="14" t="inlineStr">
        <is>
          <t>R01</t>
        </is>
      </c>
      <c r="B5" s="19" t="n"/>
      <c r="C5" s="19" t="n"/>
      <c r="D5" s="19" t="n"/>
      <c r="E5" s="19" t="n"/>
      <c r="F5" s="19" t="n"/>
    </row>
    <row r="6">
      <c r="A6" s="14" t="inlineStr">
        <is>
          <t>R02</t>
        </is>
      </c>
      <c r="B6" s="19" t="n"/>
      <c r="C6" s="19" t="n"/>
      <c r="D6" s="19" t="n"/>
      <c r="E6" s="19" t="n"/>
      <c r="F6" s="19" t="n"/>
    </row>
    <row r="7">
      <c r="A7" s="14" t="inlineStr">
        <is>
          <t>R03</t>
        </is>
      </c>
      <c r="B7" s="19" t="n"/>
      <c r="C7" s="19" t="n"/>
      <c r="D7" s="19" t="n"/>
      <c r="E7" s="19" t="n"/>
      <c r="F7" s="19" t="n"/>
    </row>
    <row r="8">
      <c r="A8" s="14" t="inlineStr">
        <is>
          <t>R04</t>
        </is>
      </c>
      <c r="B8" s="19" t="n"/>
      <c r="C8" s="19" t="n"/>
      <c r="D8" s="19" t="n"/>
      <c r="E8" s="19" t="n"/>
      <c r="F8" s="19" t="n"/>
    </row>
    <row r="9">
      <c r="A9" s="14" t="inlineStr">
        <is>
          <t>R05</t>
        </is>
      </c>
      <c r="B9" s="19" t="n"/>
      <c r="C9" s="19" t="n"/>
      <c r="D9" s="19" t="n"/>
      <c r="E9" s="19" t="n"/>
      <c r="F9" s="19" t="n"/>
    </row>
    <row r="10">
      <c r="A10" s="14" t="inlineStr">
        <is>
          <t>R06</t>
        </is>
      </c>
      <c r="B10" s="19" t="n"/>
      <c r="C10" s="19" t="n"/>
      <c r="D10" s="19" t="n"/>
      <c r="E10" s="19" t="n"/>
      <c r="F10" s="19" t="n"/>
    </row>
    <row r="11">
      <c r="A11" s="14" t="inlineStr">
        <is>
          <t>R07</t>
        </is>
      </c>
      <c r="B11" s="19" t="n"/>
      <c r="C11" s="19" t="n"/>
      <c r="D11" s="19" t="n"/>
      <c r="E11" s="19" t="n"/>
      <c r="F11" s="19" t="n"/>
    </row>
    <row r="12">
      <c r="A12" s="14" t="inlineStr">
        <is>
          <t>R08</t>
        </is>
      </c>
      <c r="B12" s="19" t="n"/>
      <c r="C12" s="19" t="n"/>
      <c r="D12" s="19" t="n"/>
      <c r="E12" s="19" t="n"/>
      <c r="F12" s="19" t="n"/>
    </row>
    <row r="13">
      <c r="A13" s="14" t="inlineStr">
        <is>
          <t>R09</t>
        </is>
      </c>
      <c r="B13" s="19" t="n"/>
      <c r="C13" s="19" t="n"/>
      <c r="D13" s="19" t="n"/>
      <c r="E13" s="19" t="n"/>
      <c r="F13" s="19" t="n"/>
    </row>
    <row r="14">
      <c r="A14" s="14" t="inlineStr">
        <is>
          <t>R10</t>
        </is>
      </c>
      <c r="B14" s="19" t="n"/>
      <c r="C14" s="19" t="n"/>
      <c r="D14" s="19" t="n"/>
      <c r="E14" s="19" t="n"/>
      <c r="F14" s="19" t="n"/>
    </row>
    <row r="15">
      <c r="A15" s="14" t="inlineStr">
        <is>
          <t>R11</t>
        </is>
      </c>
      <c r="B15" s="19" t="n"/>
      <c r="C15" s="19" t="n"/>
      <c r="D15" s="19" t="n"/>
      <c r="E15" s="19" t="n"/>
      <c r="F15" s="19" t="n"/>
    </row>
    <row r="16">
      <c r="A16" s="14" t="inlineStr">
        <is>
          <t>R12</t>
        </is>
      </c>
      <c r="B16" s="19" t="n"/>
      <c r="C16" s="19" t="n"/>
      <c r="D16" s="19" t="n"/>
      <c r="E16" s="19" t="n"/>
      <c r="F16" s="19" t="n"/>
    </row>
    <row r="17">
      <c r="A17" s="14" t="inlineStr">
        <is>
          <t>R13</t>
        </is>
      </c>
      <c r="B17" s="19" t="n"/>
      <c r="C17" s="19" t="n"/>
      <c r="D17" s="19" t="n"/>
      <c r="E17" s="19" t="n"/>
      <c r="F17" s="19" t="n"/>
    </row>
    <row r="18">
      <c r="A18" s="14" t="inlineStr">
        <is>
          <t>R14</t>
        </is>
      </c>
      <c r="B18" s="19" t="n"/>
      <c r="C18" s="19" t="n"/>
      <c r="D18" s="19" t="n"/>
      <c r="E18" s="19" t="n"/>
      <c r="F18" s="19" t="n"/>
    </row>
    <row r="19">
      <c r="A19" s="14" t="inlineStr">
        <is>
          <t>R15</t>
        </is>
      </c>
      <c r="B19" s="19" t="n"/>
      <c r="C19" s="19" t="n"/>
      <c r="D19" s="19" t="n"/>
      <c r="E19" s="19" t="n"/>
      <c r="F19" s="19" t="n"/>
    </row>
    <row r="20">
      <c r="A20" s="14" t="inlineStr">
        <is>
          <t>R16</t>
        </is>
      </c>
      <c r="B20" s="19" t="n"/>
      <c r="C20" s="19" t="n"/>
      <c r="D20" s="19" t="n"/>
      <c r="E20" s="19" t="n"/>
      <c r="F20" s="19" t="n"/>
    </row>
    <row r="21">
      <c r="A21" s="14" t="inlineStr">
        <is>
          <t>R17</t>
        </is>
      </c>
      <c r="B21" s="19" t="n"/>
      <c r="C21" s="19" t="n"/>
      <c r="D21" s="19" t="n"/>
      <c r="E21" s="19" t="n"/>
      <c r="F21" s="19" t="n"/>
    </row>
    <row r="22">
      <c r="A22" s="14" t="inlineStr">
        <is>
          <t>R18</t>
        </is>
      </c>
      <c r="B22" s="19" t="n"/>
      <c r="C22" s="19" t="n"/>
      <c r="D22" s="19" t="n"/>
      <c r="E22" s="19" t="n"/>
      <c r="F22" s="19" t="n"/>
    </row>
    <row r="23">
      <c r="A23" s="14" t="inlineStr">
        <is>
          <t>R19</t>
        </is>
      </c>
      <c r="B23" s="19" t="n"/>
      <c r="C23" s="19" t="n"/>
      <c r="D23" s="19" t="n"/>
      <c r="E23" s="19" t="n"/>
      <c r="F23" s="19" t="n"/>
    </row>
    <row r="24">
      <c r="A24" s="14" t="inlineStr">
        <is>
          <t>R20</t>
        </is>
      </c>
      <c r="B24" s="19" t="n"/>
      <c r="C24" s="19" t="n"/>
      <c r="D24" s="19" t="n"/>
      <c r="E24" s="19" t="n"/>
      <c r="F24" s="19" t="n"/>
    </row>
    <row r="25">
      <c r="A25" s="14" t="inlineStr">
        <is>
          <t>R21</t>
        </is>
      </c>
      <c r="B25" s="19" t="n"/>
      <c r="C25" s="19" t="n"/>
      <c r="D25" s="19" t="n"/>
      <c r="E25" s="19" t="n"/>
      <c r="F25" s="19" t="n"/>
    </row>
    <row r="26">
      <c r="A26" s="14" t="inlineStr">
        <is>
          <t>R22</t>
        </is>
      </c>
      <c r="B26" s="19" t="n"/>
      <c r="C26" s="19" t="n"/>
      <c r="D26" s="19" t="n"/>
      <c r="E26" s="19" t="n"/>
      <c r="F26" s="19" t="n"/>
    </row>
    <row r="27">
      <c r="A27" s="14" t="inlineStr">
        <is>
          <t>R23</t>
        </is>
      </c>
      <c r="B27" s="19" t="n"/>
      <c r="C27" s="19" t="n"/>
      <c r="D27" s="19" t="n"/>
      <c r="E27" s="19" t="n"/>
      <c r="F27" s="19" t="n"/>
    </row>
    <row r="28">
      <c r="A28" s="14" t="inlineStr">
        <is>
          <t>R24</t>
        </is>
      </c>
      <c r="B28" s="19" t="n"/>
      <c r="C28" s="19" t="n"/>
      <c r="D28" s="19" t="n"/>
      <c r="E28" s="19" t="n"/>
      <c r="F28" s="19" t="n"/>
    </row>
    <row r="29">
      <c r="A29" s="14" t="inlineStr">
        <is>
          <t>R25</t>
        </is>
      </c>
      <c r="B29" s="19" t="n"/>
      <c r="C29" s="19" t="n"/>
      <c r="D29" s="19" t="n"/>
      <c r="E29" s="19" t="n"/>
      <c r="F29" s="19" t="n"/>
    </row>
    <row r="30">
      <c r="A30" s="14" t="inlineStr">
        <is>
          <t>R26</t>
        </is>
      </c>
      <c r="B30" s="19" t="n"/>
      <c r="C30" s="19" t="n"/>
      <c r="D30" s="19" t="n"/>
      <c r="E30" s="19" t="n"/>
      <c r="F30" s="19" t="n"/>
    </row>
    <row r="31">
      <c r="A31" s="14" t="inlineStr">
        <is>
          <t>R27</t>
        </is>
      </c>
      <c r="B31" s="19" t="n"/>
      <c r="C31" s="19" t="n"/>
      <c r="D31" s="19" t="n"/>
      <c r="E31" s="19" t="n"/>
      <c r="F31" s="19" t="n"/>
    </row>
    <row r="32">
      <c r="A32" s="14" t="inlineStr">
        <is>
          <t>R28</t>
        </is>
      </c>
      <c r="B32" s="19" t="n"/>
      <c r="C32" s="19" t="n"/>
      <c r="D32" s="19" t="n"/>
      <c r="E32" s="19" t="n"/>
      <c r="F32" s="19" t="n"/>
    </row>
    <row r="33">
      <c r="A33" s="14" t="inlineStr">
        <is>
          <t>R29</t>
        </is>
      </c>
      <c r="B33" s="19" t="n"/>
      <c r="C33" s="19" t="n"/>
      <c r="D33" s="19" t="n"/>
      <c r="E33" s="19" t="n"/>
      <c r="F33" s="19" t="n"/>
    </row>
    <row r="34">
      <c r="A34" s="14" t="inlineStr">
        <is>
          <t>R30</t>
        </is>
      </c>
      <c r="B34" s="19" t="n"/>
      <c r="C34" s="19" t="n"/>
      <c r="D34" s="19" t="n"/>
      <c r="E34" s="19" t="n"/>
      <c r="F34" s="19" t="n"/>
    </row>
  </sheetData>
  <dataValidations count="1">
    <dataValidation sqref="E5:E34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20" customWidth="1" min="4" max="4"/>
    <col width="24" customWidth="1" min="5" max="5"/>
  </cols>
  <sheetData>
    <row r="1">
      <c r="A1" s="1" t="inlineStr">
        <is>
          <t>SmartFlow UAT: summary for Chapter 5</t>
        </is>
      </c>
    </row>
    <row r="2">
      <c r="A2" s="2" t="inlineStr">
        <is>
          <t>All cells on this sheet are formulas except the two yellow ones. Values appear once answers are typed on Responses.</t>
        </is>
      </c>
    </row>
    <row r="4">
      <c r="A4" s="8" t="inlineStr">
        <is>
          <t>Table 5.2: Respondents</t>
        </is>
      </c>
    </row>
    <row r="5">
      <c r="A5" s="9" t="inlineStr">
        <is>
          <t>Role</t>
        </is>
      </c>
      <c r="B5" s="9" t="inlineStr">
        <is>
          <t>Respondents (n)</t>
        </is>
      </c>
    </row>
    <row r="6">
      <c r="A6" s="20" t="inlineStr">
        <is>
          <t>Municipal Accountant / admin</t>
        </is>
      </c>
      <c r="B6" s="21">
        <f>COUNTIFS(Responses!$B$6:$B$35,A6,Responses!$AH$6:$AH$35,"&gt;0")</f>
        <v/>
      </c>
    </row>
    <row r="7">
      <c r="A7" s="20" t="inlineStr">
        <is>
          <t>Department head</t>
        </is>
      </c>
      <c r="B7" s="21">
        <f>COUNTIFS(Responses!$B$6:$B$35,A7,Responses!$AH$6:$AH$35,"&gt;0")</f>
        <v/>
      </c>
    </row>
    <row r="8">
      <c r="A8" s="20" t="inlineStr">
        <is>
          <t>Clerk / staff</t>
        </is>
      </c>
      <c r="B8" s="21">
        <f>COUNTIFS(Responses!$B$6:$B$35,A8,Responses!$AH$6:$AH$35,"&gt;0")</f>
        <v/>
      </c>
    </row>
    <row r="9">
      <c r="A9" s="20" t="inlineStr">
        <is>
          <t>Other</t>
        </is>
      </c>
      <c r="B9" s="21">
        <f>COUNTIFS(Responses!$B$6:$B$35,A9,Responses!$AH$6:$AH$35,"&gt;0")</f>
        <v/>
      </c>
    </row>
    <row r="10">
      <c r="A10" s="20" t="inlineStr">
        <is>
          <t>Role not selected</t>
        </is>
      </c>
      <c r="B10" s="21">
        <f>B11-SUM(B6:B9)</f>
        <v/>
      </c>
    </row>
    <row r="11">
      <c r="A11" s="22" t="inlineStr">
        <is>
          <t>Total</t>
        </is>
      </c>
      <c r="B11" s="23">
        <f>COUNTIF(Responses!$AH$6:$AH$35,"&gt;0")</f>
        <v/>
      </c>
    </row>
    <row r="13">
      <c r="A13" s="8" t="inlineStr">
        <is>
          <t>Respondents by office</t>
        </is>
      </c>
    </row>
    <row r="14">
      <c r="A14" s="9" t="inlineStr">
        <is>
          <t>Office</t>
        </is>
      </c>
      <c r="B14" s="9" t="inlineStr">
        <is>
          <t>Respondents (n)</t>
        </is>
      </c>
    </row>
    <row r="15">
      <c r="A15" s="20" t="inlineStr">
        <is>
          <t>ENG</t>
        </is>
      </c>
      <c r="B15" s="21">
        <f>COUNTIFS(Responses!$C$6:$C$35,A15,Responses!$AH$6:$AH$35,"&gt;0")</f>
        <v/>
      </c>
    </row>
    <row r="16">
      <c r="A16" s="20" t="inlineStr">
        <is>
          <t>HR</t>
        </is>
      </c>
      <c r="B16" s="21">
        <f>COUNTIFS(Responses!$C$6:$C$35,A16,Responses!$AH$6:$AH$35,"&gt;0")</f>
        <v/>
      </c>
    </row>
    <row r="17">
      <c r="A17" s="20" t="inlineStr">
        <is>
          <t>BUD</t>
        </is>
      </c>
      <c r="B17" s="21">
        <f>COUNTIFS(Responses!$C$6:$C$35,A17,Responses!$AH$6:$AH$35,"&gt;0")</f>
        <v/>
      </c>
    </row>
    <row r="18">
      <c r="A18" s="20" t="inlineStr">
        <is>
          <t>ACC</t>
        </is>
      </c>
      <c r="B18" s="21">
        <f>COUNTIFS(Responses!$C$6:$C$35,A18,Responses!$AH$6:$AH$35,"&gt;0")</f>
        <v/>
      </c>
    </row>
    <row r="19">
      <c r="A19" s="20" t="inlineStr">
        <is>
          <t>TRE</t>
        </is>
      </c>
      <c r="B19" s="21">
        <f>COUNTIFS(Responses!$C$6:$C$35,A19,Responses!$AH$6:$AH$35,"&gt;0")</f>
        <v/>
      </c>
    </row>
    <row r="20">
      <c r="A20" s="20" t="inlineStr">
        <is>
          <t>MAY</t>
        </is>
      </c>
      <c r="B20" s="21">
        <f>COUNTIFS(Responses!$C$6:$C$35,A20,Responses!$AH$6:$AH$35,"&gt;0")</f>
        <v/>
      </c>
    </row>
    <row r="21">
      <c r="A21" s="20" t="inlineStr">
        <is>
          <t>Other</t>
        </is>
      </c>
      <c r="B21" s="21">
        <f>COUNTIFS(Responses!$C$6:$C$35,A21,Responses!$AH$6:$AH$35,"&gt;0")</f>
        <v/>
      </c>
    </row>
    <row r="22">
      <c r="A22" s="20" t="inlineStr">
        <is>
          <t>Office not selected</t>
        </is>
      </c>
      <c r="B22" s="21">
        <f>B11-SUM(B15:B21)</f>
        <v/>
      </c>
    </row>
    <row r="24">
      <c r="A24" s="8" t="inlineStr">
        <is>
          <t>Table 5.3: Verbal interpretation scale</t>
        </is>
      </c>
    </row>
    <row r="25">
      <c r="A25" s="9" t="inlineStr">
        <is>
          <t>From</t>
        </is>
      </c>
      <c r="B25" s="9" t="inlineStr">
        <is>
          <t>To</t>
        </is>
      </c>
      <c r="C25" s="9" t="inlineStr">
        <is>
          <t>Interpretation</t>
        </is>
      </c>
    </row>
    <row r="26">
      <c r="A26" s="24" t="n">
        <v>1</v>
      </c>
      <c r="B26" s="24" t="n">
        <v>1.8</v>
      </c>
      <c r="C26" s="14" t="inlineStr">
        <is>
          <t>Strongly Disagree</t>
        </is>
      </c>
    </row>
    <row r="27">
      <c r="A27" s="24" t="n">
        <v>1.81</v>
      </c>
      <c r="B27" s="24" t="n">
        <v>2.6</v>
      </c>
      <c r="C27" s="14" t="inlineStr">
        <is>
          <t>Disagree</t>
        </is>
      </c>
    </row>
    <row r="28">
      <c r="A28" s="24" t="n">
        <v>2.61</v>
      </c>
      <c r="B28" s="24" t="n">
        <v>3.4</v>
      </c>
      <c r="C28" s="14" t="inlineStr">
        <is>
          <t>Uncertain</t>
        </is>
      </c>
    </row>
    <row r="29">
      <c r="A29" s="24" t="n">
        <v>3.41</v>
      </c>
      <c r="B29" s="24" t="n">
        <v>4.2</v>
      </c>
      <c r="C29" s="14" t="inlineStr">
        <is>
          <t>Agree</t>
        </is>
      </c>
    </row>
    <row r="30">
      <c r="A30" s="24" t="n">
        <v>4.21</v>
      </c>
      <c r="B30" s="24" t="n">
        <v>5</v>
      </c>
      <c r="C30" s="14" t="inlineStr">
        <is>
          <t>Strongly Agree</t>
        </is>
      </c>
    </row>
    <row r="31">
      <c r="A31" s="2" t="inlineStr">
        <is>
          <t>Source: Chapter 5 Table 5.3 (verbal scale approved by the research adviser). Change these cells only if the adviser changes the scale.</t>
        </is>
      </c>
    </row>
    <row r="33">
      <c r="A33" s="8" t="inlineStr">
        <is>
          <t>Table 5.4: ISO/IEC 25010 evaluation results</t>
        </is>
      </c>
    </row>
    <row r="34" ht="30" customHeight="1">
      <c r="A34" s="9" t="inlineStr">
        <is>
          <t>Characteristic</t>
        </is>
      </c>
      <c r="B34" s="9" t="inlineStr">
        <is>
          <t>Items</t>
        </is>
      </c>
      <c r="C34" s="9" t="inlineStr">
        <is>
          <t>Answers counted</t>
        </is>
      </c>
      <c r="D34" s="9" t="inlineStr">
        <is>
          <t>Weighted mean (WM)</t>
        </is>
      </c>
      <c r="E34" s="9" t="inlineStr">
        <is>
          <t>Verbal interpretation</t>
        </is>
      </c>
    </row>
    <row r="35">
      <c r="A35" s="20" t="inlineStr">
        <is>
          <t>Functional suitability</t>
        </is>
      </c>
      <c r="B35" s="21" t="n">
        <v>4</v>
      </c>
      <c r="C35" s="21">
        <f>COUNT(Responses!$G$6:$J$35)</f>
        <v/>
      </c>
      <c r="D35" s="25">
        <f>IFERROR(AVERAGE(Responses!$G$6:$J$35),"")</f>
        <v/>
      </c>
      <c r="E35" s="20">
        <f>IF(D35="","",INDEX($C$26:$C$30,MATCH(D35,$A$26:$A$30,1)))</f>
        <v/>
      </c>
    </row>
    <row r="36">
      <c r="A36" s="20" t="inlineStr">
        <is>
          <t>Performance efficiency</t>
        </is>
      </c>
      <c r="B36" s="21" t="n">
        <v>3</v>
      </c>
      <c r="C36" s="21">
        <f>COUNT(Responses!$K$6:$M$35)</f>
        <v/>
      </c>
      <c r="D36" s="25">
        <f>IFERROR(AVERAGE(Responses!$K$6:$M$35),"")</f>
        <v/>
      </c>
      <c r="E36" s="20">
        <f>IF(D36="","",INDEX($C$26:$C$30,MATCH(D36,$A$26:$A$30,1)))</f>
        <v/>
      </c>
    </row>
    <row r="37">
      <c r="A37" s="20" t="inlineStr">
        <is>
          <t>Compatibility</t>
        </is>
      </c>
      <c r="B37" s="21" t="n">
        <v>3</v>
      </c>
      <c r="C37" s="21">
        <f>COUNT(Responses!$N$6:$P$35)</f>
        <v/>
      </c>
      <c r="D37" s="25">
        <f>IFERROR(AVERAGE(Responses!$N$6:$P$35),"")</f>
        <v/>
      </c>
      <c r="E37" s="20">
        <f>IF(D37="","",INDEX($C$26:$C$30,MATCH(D37,$A$26:$A$30,1)))</f>
        <v/>
      </c>
    </row>
    <row r="38">
      <c r="A38" s="20" t="inlineStr">
        <is>
          <t>Usability</t>
        </is>
      </c>
      <c r="B38" s="21" t="n">
        <v>4</v>
      </c>
      <c r="C38" s="21">
        <f>COUNT(Responses!$Q$6:$T$35)</f>
        <v/>
      </c>
      <c r="D38" s="25">
        <f>IFERROR(AVERAGE(Responses!$Q$6:$T$35),"")</f>
        <v/>
      </c>
      <c r="E38" s="20">
        <f>IF(D38="","",INDEX($C$26:$C$30,MATCH(D38,$A$26:$A$30,1)))</f>
        <v/>
      </c>
    </row>
    <row r="39">
      <c r="A39" s="20" t="inlineStr">
        <is>
          <t>Reliability</t>
        </is>
      </c>
      <c r="B39" s="21" t="n">
        <v>3</v>
      </c>
      <c r="C39" s="21">
        <f>COUNT(Responses!$U$6:$W$35)</f>
        <v/>
      </c>
      <c r="D39" s="25">
        <f>IFERROR(AVERAGE(Responses!$U$6:$W$35),"")</f>
        <v/>
      </c>
      <c r="E39" s="20">
        <f>IF(D39="","",INDEX($C$26:$C$30,MATCH(D39,$A$26:$A$30,1)))</f>
        <v/>
      </c>
    </row>
    <row r="40">
      <c r="A40" s="20" t="inlineStr">
        <is>
          <t>Security</t>
        </is>
      </c>
      <c r="B40" s="21" t="n">
        <v>4</v>
      </c>
      <c r="C40" s="21">
        <f>COUNT(Responses!$X$6:$AA$35)</f>
        <v/>
      </c>
      <c r="D40" s="25">
        <f>IFERROR(AVERAGE(Responses!$X$6:$AA$35),"")</f>
        <v/>
      </c>
      <c r="E40" s="20">
        <f>IF(D40="","",INDEX($C$26:$C$30,MATCH(D40,$A$26:$A$30,1)))</f>
        <v/>
      </c>
    </row>
    <row r="41">
      <c r="A41" s="20" t="inlineStr">
        <is>
          <t>Maintainability</t>
        </is>
      </c>
      <c r="B41" s="21" t="n">
        <v>3</v>
      </c>
      <c r="C41" s="21">
        <f>COUNT(Responses!$AB$6:$AD$35)</f>
        <v/>
      </c>
      <c r="D41" s="25">
        <f>IFERROR(AVERAGE(Responses!$AB$6:$AD$35),"")</f>
        <v/>
      </c>
      <c r="E41" s="20">
        <f>IF(D41="","",INDEX($C$26:$C$30,MATCH(D41,$A$26:$A$30,1)))</f>
        <v/>
      </c>
    </row>
    <row r="42">
      <c r="A42" s="20" t="inlineStr">
        <is>
          <t>Portability</t>
        </is>
      </c>
      <c r="B42" s="21" t="n">
        <v>3</v>
      </c>
      <c r="C42" s="21">
        <f>COUNT(Responses!$AE$6:$AG$35)</f>
        <v/>
      </c>
      <c r="D42" s="25">
        <f>IFERROR(AVERAGE(Responses!$AE$6:$AG$35),"")</f>
        <v/>
      </c>
      <c r="E42" s="20">
        <f>IF(D42="","",INDEX($C$26:$C$30,MATCH(D42,$A$26:$A$30,1)))</f>
        <v/>
      </c>
    </row>
    <row r="43">
      <c r="A43" s="22" t="inlineStr">
        <is>
          <t>Overall WM: mean of the 8 characteristic WMs</t>
        </is>
      </c>
      <c r="B43" s="18" t="n"/>
      <c r="C43" s="18" t="n"/>
      <c r="D43" s="26">
        <f>IFERROR(AVERAGE(D35:D42),"")</f>
        <v/>
      </c>
      <c r="E43" s="22">
        <f>IF(D43="","",INDEX($C$26:$C$30,MATCH(D43,$A$26:$A$30,1)))</f>
        <v/>
      </c>
    </row>
    <row r="44">
      <c r="A44" s="22" t="inlineStr">
        <is>
          <t>Overall WM: mean of all item answers</t>
        </is>
      </c>
      <c r="B44" s="18" t="n"/>
      <c r="C44" s="27">
        <f>COUNT(Responses!$G$6:$AG$35)</f>
        <v/>
      </c>
      <c r="D44" s="26">
        <f>IFERROR(AVERAGE(Responses!$G$6:$AG$35),"")</f>
        <v/>
      </c>
      <c r="E44" s="22">
        <f>IF(D44="","",INDEX($C$26:$C$30,MATCH(D44,$A$26:$A$30,1)))</f>
        <v/>
      </c>
    </row>
    <row r="46">
      <c r="A46" s="28" t="inlineStr">
        <is>
          <t>Overall method to report (choose)</t>
        </is>
      </c>
      <c r="B46" s="14" t="inlineStr">
        <is>
          <t>Mean of 8 WMs</t>
        </is>
      </c>
      <c r="C46" s="13" t="n"/>
    </row>
    <row r="47">
      <c r="A47" s="22" t="inlineStr">
        <is>
          <t>Overall WM to report</t>
        </is>
      </c>
      <c r="B47" s="18" t="n"/>
      <c r="C47" s="18" t="n"/>
      <c r="D47" s="26">
        <f>IF($B$46="Mean of all items",D44,D43)</f>
        <v/>
      </c>
      <c r="E47" s="22">
        <f>IF(D47="","",INDEX($C$26:$C$30,MATCH(D47,$A$26:$A$30,1)))</f>
        <v/>
      </c>
    </row>
    <row r="48">
      <c r="A48" s="8" t="inlineStr">
        <is>
          <t>Method sentence for Chapter 5</t>
        </is>
      </c>
    </row>
    <row r="49">
      <c r="A49" s="29">
        <f>IF(B11=0,"","Overall WM = "&amp;TEXT(D47,"0.00")&amp;" ("&amp;E47&amp;"), computed as the "&amp;IF($B$46="Mean of all items","mean of all item answers","mean of the eight characteristic weighted means")&amp;" from "&amp;B11&amp;" respondent(s).")</f>
        <v/>
      </c>
    </row>
    <row r="51">
      <c r="A51" s="8" t="inlineStr">
        <is>
          <t>Would you recommend SmartFlow for pilot use? (Part C, question 4)</t>
        </is>
      </c>
    </row>
    <row r="52">
      <c r="A52" s="9" t="inlineStr">
        <is>
          <t>Answer</t>
        </is>
      </c>
      <c r="B52" s="9" t="inlineStr">
        <is>
          <t>Respondents (n)</t>
        </is>
      </c>
    </row>
    <row r="53">
      <c r="A53" s="20" t="inlineStr">
        <is>
          <t>Yes</t>
        </is>
      </c>
      <c r="B53" s="21">
        <f>COUNTIF(Feedback!$E$5:$E$34,A53)</f>
        <v/>
      </c>
    </row>
    <row r="54">
      <c r="A54" s="20" t="inlineStr">
        <is>
          <t>No</t>
        </is>
      </c>
      <c r="B54" s="21">
        <f>COUNTIF(Feedback!$E$5:$E$34,A54)</f>
        <v/>
      </c>
    </row>
    <row r="55">
      <c r="A55" s="20" t="inlineStr">
        <is>
          <t>Not sure</t>
        </is>
      </c>
      <c r="B55" s="21">
        <f>COUNTIF(Feedback!$E$5:$E$34,A55)</f>
        <v/>
      </c>
    </row>
  </sheetData>
  <mergeCells count="1">
    <mergeCell ref="B46:C46"/>
  </mergeCells>
  <dataValidations count="1">
    <dataValidation sqref="B46" showDropDown="0" showInputMessage="0" showErrorMessage="0" allowBlank="0" type="list">
      <formula1>"Mean of 8 WMs,Mean of all items"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SmartFlow UAT: results per questionnaire item</t>
        </is>
      </c>
    </row>
    <row r="2">
      <c r="A2" s="2" t="inlineStr">
        <is>
          <t>Formulas only. Use these means in the Chapter 5 discussion of strengths and weaknesses.</t>
        </is>
      </c>
    </row>
    <row r="4">
      <c r="A4" s="9" t="inlineStr">
        <is>
          <t>Code</t>
        </is>
      </c>
      <c r="B4" s="9" t="inlineStr">
        <is>
          <t>Characteristic</t>
        </is>
      </c>
      <c r="C4" s="9" t="inlineStr">
        <is>
          <t>Statement</t>
        </is>
      </c>
      <c r="D4" s="9" t="inlineStr">
        <is>
          <t>Answers counted</t>
        </is>
      </c>
      <c r="E4" s="9" t="inlineStr">
        <is>
          <t>Mean</t>
        </is>
      </c>
      <c r="F4" s="9" t="inlineStr">
        <is>
          <t>Verbal interpretation</t>
        </is>
      </c>
    </row>
    <row r="5">
      <c r="A5" s="20" t="inlineStr">
        <is>
          <t>FS1</t>
        </is>
      </c>
      <c r="B5" s="20" t="inlineStr">
        <is>
          <t>Functional suitability</t>
        </is>
      </c>
      <c r="C5" s="6" t="inlineStr">
        <is>
          <t>SmartFlow provides the functions I need to track or monitor document folders in my office.</t>
        </is>
      </c>
      <c r="D5" s="21">
        <f>COUNT(Responses!$G$6:$G$35)</f>
        <v/>
      </c>
      <c r="E5" s="25">
        <f>IFERROR(AVERAGE(Responses!$G$6:$G$35),"")</f>
        <v/>
      </c>
      <c r="F5" s="20">
        <f>IF(E5="","",INDEX(Summary!$C$26:$C$30,MATCH(E5,Summary!$A$26:$A$30,1)))</f>
        <v/>
      </c>
    </row>
    <row r="6">
      <c r="A6" s="20" t="inlineStr">
        <is>
          <t>FS2</t>
        </is>
      </c>
      <c r="B6" s="20" t="inlineStr">
        <is>
          <t>Functional suitability</t>
        </is>
      </c>
      <c r="C6" s="6" t="inlineStr">
        <is>
          <t>Registering a document and getting a QR / tracking ID works as expected.</t>
        </is>
      </c>
      <c r="D6" s="21">
        <f>COUNT(Responses!$H$6:$H$35)</f>
        <v/>
      </c>
      <c r="E6" s="25">
        <f>IFERROR(AVERAGE(Responses!$H$6:$H$35),"")</f>
        <v/>
      </c>
      <c r="F6" s="20">
        <f>IF(E6="","",INDEX(Summary!$C$26:$C$30,MATCH(E6,Summary!$A$26:$A$30,1)))</f>
        <v/>
      </c>
    </row>
    <row r="7">
      <c r="A7" s="20" t="inlineStr">
        <is>
          <t>FS3</t>
        </is>
      </c>
      <c r="B7" s="20" t="inlineStr">
        <is>
          <t>Functional suitability</t>
        </is>
      </c>
      <c r="C7" s="6" t="inlineStr">
        <is>
          <t>Scanning receive (IN) and forward (OUT) records the handoff correctly.</t>
        </is>
      </c>
      <c r="D7" s="21">
        <f>COUNT(Responses!$I$6:$I$35)</f>
        <v/>
      </c>
      <c r="E7" s="25">
        <f>IFERROR(AVERAGE(Responses!$I$6:$I$35),"")</f>
        <v/>
      </c>
      <c r="F7" s="20">
        <f>IF(E7="","",INDEX(Summary!$C$26:$C$30,MATCH(E7,Summary!$A$26:$A$30,1)))</f>
        <v/>
      </c>
    </row>
    <row r="8">
      <c r="A8" s="20" t="inlineStr">
        <is>
          <t>FS4</t>
        </is>
      </c>
      <c r="B8" s="20" t="inlineStr">
        <is>
          <t>Functional suitability</t>
        </is>
      </c>
      <c r="C8" s="6" t="inlineStr">
        <is>
          <t>Dashboards / lists show where documents are and which ones need attention.</t>
        </is>
      </c>
      <c r="D8" s="21">
        <f>COUNT(Responses!$J$6:$J$35)</f>
        <v/>
      </c>
      <c r="E8" s="25">
        <f>IFERROR(AVERAGE(Responses!$J$6:$J$35),"")</f>
        <v/>
      </c>
      <c r="F8" s="20">
        <f>IF(E8="","",INDEX(Summary!$C$26:$C$30,MATCH(E8,Summary!$A$26:$A$30,1)))</f>
        <v/>
      </c>
    </row>
    <row r="9">
      <c r="A9" s="20" t="inlineStr">
        <is>
          <t>PE1</t>
        </is>
      </c>
      <c r="B9" s="20" t="inlineStr">
        <is>
          <t>Performance efficiency</t>
        </is>
      </c>
      <c r="C9" s="6" t="inlineStr">
        <is>
          <t>The system responds quickly enough for daily office use.</t>
        </is>
      </c>
      <c r="D9" s="21">
        <f>COUNT(Responses!$K$6:$K$35)</f>
        <v/>
      </c>
      <c r="E9" s="25">
        <f>IFERROR(AVERAGE(Responses!$K$6:$K$35),"")</f>
        <v/>
      </c>
      <c r="F9" s="20">
        <f>IF(E9="","",INDEX(Summary!$C$26:$C$30,MATCH(E9,Summary!$A$26:$A$30,1)))</f>
        <v/>
      </c>
    </row>
    <row r="10">
      <c r="A10" s="20" t="inlineStr">
        <is>
          <t>PE2</t>
        </is>
      </c>
      <c r="B10" s="20" t="inlineStr">
        <is>
          <t>Performance efficiency</t>
        </is>
      </c>
      <c r="C10" s="6" t="inlineStr">
        <is>
          <t>Login, register, and scan screens load without long delays on our network.</t>
        </is>
      </c>
      <c r="D10" s="21">
        <f>COUNT(Responses!$L$6:$L$35)</f>
        <v/>
      </c>
      <c r="E10" s="25">
        <f>IFERROR(AVERAGE(Responses!$L$6:$L$35),"")</f>
        <v/>
      </c>
      <c r="F10" s="20">
        <f>IF(E10="","",INDEX(Summary!$C$26:$C$30,MATCH(E10,Summary!$A$26:$A$30,1)))</f>
        <v/>
      </c>
    </row>
    <row r="11">
      <c r="A11" s="20" t="inlineStr">
        <is>
          <t>PE3</t>
        </is>
      </c>
      <c r="B11" s="20" t="inlineStr">
        <is>
          <t>Performance efficiency</t>
        </is>
      </c>
      <c r="C11" s="6" t="inlineStr">
        <is>
          <t>Completing a handoff (scan) takes less time than calling or walking to ask for status.</t>
        </is>
      </c>
      <c r="D11" s="21">
        <f>COUNT(Responses!$M$6:$M$35)</f>
        <v/>
      </c>
      <c r="E11" s="25">
        <f>IFERROR(AVERAGE(Responses!$M$6:$M$35),"")</f>
        <v/>
      </c>
      <c r="F11" s="20">
        <f>IF(E11="","",INDEX(Summary!$C$26:$C$30,MATCH(E11,Summary!$A$26:$A$30,1)))</f>
        <v/>
      </c>
    </row>
    <row r="12">
      <c r="A12" s="20" t="inlineStr">
        <is>
          <t>CO1</t>
        </is>
      </c>
      <c r="B12" s="20" t="inlineStr">
        <is>
          <t>Compatibility</t>
        </is>
      </c>
      <c r="C12" s="6" t="inlineStr">
        <is>
          <t>SmartFlow works with the devices we used (browser and/or Android phone).</t>
        </is>
      </c>
      <c r="D12" s="21">
        <f>COUNT(Responses!$N$6:$N$35)</f>
        <v/>
      </c>
      <c r="E12" s="25">
        <f>IFERROR(AVERAGE(Responses!$N$6:$N$35),"")</f>
        <v/>
      </c>
      <c r="F12" s="20">
        <f>IF(E12="","",INDEX(Summary!$C$26:$C$30,MATCH(E12,Summary!$A$26:$A$30,1)))</f>
        <v/>
      </c>
    </row>
    <row r="13">
      <c r="A13" s="20" t="inlineStr">
        <is>
          <t>CO2</t>
        </is>
      </c>
      <c r="B13" s="20" t="inlineStr">
        <is>
          <t>Compatibility</t>
        </is>
      </c>
      <c r="C13" s="6" t="inlineStr">
        <is>
          <t>Using SmartFlow fits our existing practice of moving physical folders between offices.</t>
        </is>
      </c>
      <c r="D13" s="21">
        <f>COUNT(Responses!$O$6:$O$35)</f>
        <v/>
      </c>
      <c r="E13" s="25">
        <f>IFERROR(AVERAGE(Responses!$O$6:$O$35),"")</f>
        <v/>
      </c>
      <c r="F13" s="20">
        <f>IF(E13="","",INDEX(Summary!$C$26:$C$30,MATCH(E13,Summary!$A$26:$A$30,1)))</f>
        <v/>
      </c>
    </row>
    <row r="14">
      <c r="A14" s="20" t="inlineStr">
        <is>
          <t>CO3</t>
        </is>
      </c>
      <c r="B14" s="20" t="inlineStr">
        <is>
          <t>Compatibility</t>
        </is>
      </c>
      <c r="C14" s="6" t="inlineStr">
        <is>
          <t>Web and mobile views are consistent enough that I can understand status either way.</t>
        </is>
      </c>
      <c r="D14" s="21">
        <f>COUNT(Responses!$P$6:$P$35)</f>
        <v/>
      </c>
      <c r="E14" s="25">
        <f>IFERROR(AVERAGE(Responses!$P$6:$P$35),"")</f>
        <v/>
      </c>
      <c r="F14" s="20">
        <f>IF(E14="","",INDEX(Summary!$C$26:$C$30,MATCH(E14,Summary!$A$26:$A$30,1)))</f>
        <v/>
      </c>
    </row>
    <row r="15">
      <c r="A15" s="20" t="inlineStr">
        <is>
          <t>US1</t>
        </is>
      </c>
      <c r="B15" s="20" t="inlineStr">
        <is>
          <t>Usability</t>
        </is>
      </c>
      <c r="C15" s="6" t="inlineStr">
        <is>
          <t>I can learn the main screens with brief training.</t>
        </is>
      </c>
      <c r="D15" s="21">
        <f>COUNT(Responses!$Q$6:$Q$35)</f>
        <v/>
      </c>
      <c r="E15" s="25">
        <f>IFERROR(AVERAGE(Responses!$Q$6:$Q$35),"")</f>
        <v/>
      </c>
      <c r="F15" s="20">
        <f>IF(E15="","",INDEX(Summary!$C$26:$C$30,MATCH(E15,Summary!$A$26:$A$30,1)))</f>
        <v/>
      </c>
    </row>
    <row r="16">
      <c r="A16" s="20" t="inlineStr">
        <is>
          <t>US2</t>
        </is>
      </c>
      <c r="B16" s="20" t="inlineStr">
        <is>
          <t>Usability</t>
        </is>
      </c>
      <c r="C16" s="6" t="inlineStr">
        <is>
          <t>Labels and buttons (Scan, Register, Requests, Alerts) are clear.</t>
        </is>
      </c>
      <c r="D16" s="21">
        <f>COUNT(Responses!$R$6:$R$35)</f>
        <v/>
      </c>
      <c r="E16" s="25">
        <f>IFERROR(AVERAGE(Responses!$R$6:$R$35),"")</f>
        <v/>
      </c>
      <c r="F16" s="20">
        <f>IF(E16="","",INDEX(Summary!$C$26:$C$30,MATCH(E16,Summary!$A$26:$A$30,1)))</f>
        <v/>
      </c>
    </row>
    <row r="17">
      <c r="A17" s="20" t="inlineStr">
        <is>
          <t>US3</t>
        </is>
      </c>
      <c r="B17" s="20" t="inlineStr">
        <is>
          <t>Usability</t>
        </is>
      </c>
      <c r="C17" s="6" t="inlineStr">
        <is>
          <t>Error messages (e.g. wrong scan / duplicate) are understandable.</t>
        </is>
      </c>
      <c r="D17" s="21">
        <f>COUNT(Responses!$S$6:$S$35)</f>
        <v/>
      </c>
      <c r="E17" s="25">
        <f>IFERROR(AVERAGE(Responses!$S$6:$S$35),"")</f>
        <v/>
      </c>
      <c r="F17" s="20">
        <f>IF(E17="","",INDEX(Summary!$C$26:$C$30,MATCH(E17,Summary!$A$26:$A$30,1)))</f>
        <v/>
      </c>
    </row>
    <row r="18">
      <c r="A18" s="20" t="inlineStr">
        <is>
          <t>US4</t>
        </is>
      </c>
      <c r="B18" s="20" t="inlineStr">
        <is>
          <t>Usability</t>
        </is>
      </c>
      <c r="C18" s="6" t="inlineStr">
        <is>
          <t>I can tell the difference between requesting a file and registering a folder on my desk.</t>
        </is>
      </c>
      <c r="D18" s="21">
        <f>COUNT(Responses!$T$6:$T$35)</f>
        <v/>
      </c>
      <c r="E18" s="25">
        <f>IFERROR(AVERAGE(Responses!$T$6:$T$35),"")</f>
        <v/>
      </c>
      <c r="F18" s="20">
        <f>IF(E18="","",INDEX(Summary!$C$26:$C$30,MATCH(E18,Summary!$A$26:$A$30,1)))</f>
        <v/>
      </c>
    </row>
    <row r="19">
      <c r="A19" s="20" t="inlineStr">
        <is>
          <t>RE1</t>
        </is>
      </c>
      <c r="B19" s="20" t="inlineStr">
        <is>
          <t>Reliability</t>
        </is>
      </c>
      <c r="C19" s="6" t="inlineStr">
        <is>
          <t>During the pilot session, SmartFlow worked without frequent crashes or freezes.</t>
        </is>
      </c>
      <c r="D19" s="21">
        <f>COUNT(Responses!$U$6:$U$35)</f>
        <v/>
      </c>
      <c r="E19" s="25">
        <f>IFERROR(AVERAGE(Responses!$U$6:$U$35),"")</f>
        <v/>
      </c>
      <c r="F19" s="20">
        <f>IF(E19="","",INDEX(Summary!$C$26:$C$30,MATCH(E19,Summary!$A$26:$A$30,1)))</f>
        <v/>
      </c>
    </row>
    <row r="20">
      <c r="A20" s="20" t="inlineStr">
        <is>
          <t>RE2</t>
        </is>
      </c>
      <c r="B20" s="20" t="inlineStr">
        <is>
          <t>Reliability</t>
        </is>
      </c>
      <c r="C20" s="6" t="inlineStr">
        <is>
          <t>Document history / trail matched the scans we performed.</t>
        </is>
      </c>
      <c r="D20" s="21">
        <f>COUNT(Responses!$V$6:$V$35)</f>
        <v/>
      </c>
      <c r="E20" s="25">
        <f>IFERROR(AVERAGE(Responses!$V$6:$V$35),"")</f>
        <v/>
      </c>
      <c r="F20" s="20">
        <f>IF(E20="","",INDEX(Summary!$C$26:$C$30,MATCH(E20,Summary!$A$26:$A$30,1)))</f>
        <v/>
      </c>
    </row>
    <row r="21">
      <c r="A21" s="20" t="inlineStr">
        <is>
          <t>RE3</t>
        </is>
      </c>
      <c r="B21" s="20" t="inlineStr">
        <is>
          <t>Reliability</t>
        </is>
      </c>
      <c r="C21" s="6" t="inlineStr">
        <is>
          <t>Rejected illegal actions (e.g. duplicate IN) behave consistently.</t>
        </is>
      </c>
      <c r="D21" s="21">
        <f>COUNT(Responses!$W$6:$W$35)</f>
        <v/>
      </c>
      <c r="E21" s="25">
        <f>IFERROR(AVERAGE(Responses!$W$6:$W$35),"")</f>
        <v/>
      </c>
      <c r="F21" s="20">
        <f>IF(E21="","",INDEX(Summary!$C$26:$C$30,MATCH(E21,Summary!$A$26:$A$30,1)))</f>
        <v/>
      </c>
    </row>
    <row r="22">
      <c r="A22" s="20" t="inlineStr">
        <is>
          <t>SE1</t>
        </is>
      </c>
      <c r="B22" s="20" t="inlineStr">
        <is>
          <t>Security</t>
        </is>
      </c>
      <c r="C22" s="6" t="inlineStr">
        <is>
          <t>Login is required before I can use office functions.</t>
        </is>
      </c>
      <c r="D22" s="21">
        <f>COUNT(Responses!$X$6:$X$35)</f>
        <v/>
      </c>
      <c r="E22" s="25">
        <f>IFERROR(AVERAGE(Responses!$X$6:$X$35),"")</f>
        <v/>
      </c>
      <c r="F22" s="20">
        <f>IF(E22="","",INDEX(Summary!$C$26:$C$30,MATCH(E22,Summary!$A$26:$A$30,1)))</f>
        <v/>
      </c>
    </row>
    <row r="23">
      <c r="A23" s="20" t="inlineStr">
        <is>
          <t>SE2</t>
        </is>
      </c>
      <c r="B23" s="20" t="inlineStr">
        <is>
          <t>Security</t>
        </is>
      </c>
      <c r="C23" s="6" t="inlineStr">
        <is>
          <t>I only see information appropriate to my role / office (as far as I can tell).</t>
        </is>
      </c>
      <c r="D23" s="21">
        <f>COUNT(Responses!$Y$6:$Y$35)</f>
        <v/>
      </c>
      <c r="E23" s="25">
        <f>IFERROR(AVERAGE(Responses!$Y$6:$Y$35),"")</f>
        <v/>
      </c>
      <c r="F23" s="20">
        <f>IF(E23="","",INDEX(Summary!$C$26:$C$30,MATCH(E23,Summary!$A$26:$A$30,1)))</f>
        <v/>
      </c>
    </row>
    <row r="24">
      <c r="A24" s="20" t="inlineStr">
        <is>
          <t>SE3</t>
        </is>
      </c>
      <c r="B24" s="20" t="inlineStr">
        <is>
          <t>Security</t>
        </is>
      </c>
      <c r="C24" s="6" t="inlineStr">
        <is>
          <t>Logging out ends my session on this device.</t>
        </is>
      </c>
      <c r="D24" s="21">
        <f>COUNT(Responses!$Z$6:$Z$35)</f>
        <v/>
      </c>
      <c r="E24" s="25">
        <f>IFERROR(AVERAGE(Responses!$Z$6:$Z$35),"")</f>
        <v/>
      </c>
      <c r="F24" s="20">
        <f>IF(E24="","",INDEX(Summary!$C$26:$C$30,MATCH(E24,Summary!$A$26:$A$30,1)))</f>
        <v/>
      </c>
    </row>
    <row r="25">
      <c r="A25" s="20" t="inlineStr">
        <is>
          <t>SE4</t>
        </is>
      </c>
      <c r="B25" s="20" t="inlineStr">
        <is>
          <t>Security</t>
        </is>
      </c>
      <c r="C25" s="6" t="inlineStr">
        <is>
          <t>I understand SmartFlow tracks folder movement; it does not store the full document content or approve payments.</t>
        </is>
      </c>
      <c r="D25" s="21">
        <f>COUNT(Responses!$AA$6:$AA$35)</f>
        <v/>
      </c>
      <c r="E25" s="25">
        <f>IFERROR(AVERAGE(Responses!$AA$6:$AA$35),"")</f>
        <v/>
      </c>
      <c r="F25" s="20">
        <f>IF(E25="","",INDEX(Summary!$C$26:$C$30,MATCH(E25,Summary!$A$26:$A$30,1)))</f>
        <v/>
      </c>
    </row>
    <row r="26">
      <c r="A26" s="20" t="inlineStr">
        <is>
          <t>MA1</t>
        </is>
      </c>
      <c r="B26" s="20" t="inlineStr">
        <is>
          <t>Maintainability</t>
        </is>
      </c>
      <c r="C26" s="6" t="inlineStr">
        <is>
          <t>Account / profile and password options are reachable when I need them.</t>
        </is>
      </c>
      <c r="D26" s="21">
        <f>COUNT(Responses!$AB$6:$AB$35)</f>
        <v/>
      </c>
      <c r="E26" s="25">
        <f>IFERROR(AVERAGE(Responses!$AB$6:$AB$35),"")</f>
        <v/>
      </c>
      <c r="F26" s="20">
        <f>IF(E26="","",INDEX(Summary!$C$26:$C$30,MATCH(E26,Summary!$A$26:$A$30,1)))</f>
        <v/>
      </c>
    </row>
    <row r="27">
      <c r="A27" s="20" t="inlineStr">
        <is>
          <t>MA2</t>
        </is>
      </c>
      <c r="B27" s="20" t="inlineStr">
        <is>
          <t>Maintainability</t>
        </is>
      </c>
      <c r="C27" s="6" t="inlineStr">
        <is>
          <t>Admin / accountant tools (users, reports, thresholds, QR monitor) look organized enough for pilot use.</t>
        </is>
      </c>
      <c r="D27" s="21">
        <f>COUNT(Responses!$AC$6:$AC$35)</f>
        <v/>
      </c>
      <c r="E27" s="25">
        <f>IFERROR(AVERAGE(Responses!$AC$6:$AC$35),"")</f>
        <v/>
      </c>
      <c r="F27" s="20">
        <f>IF(E27="","",INDEX(Summary!$C$26:$C$30,MATCH(E27,Summary!$A$26:$A$30,1)))</f>
        <v/>
      </c>
    </row>
    <row r="28">
      <c r="A28" s="20" t="inlineStr">
        <is>
          <t>MA3</t>
        </is>
      </c>
      <c r="B28" s="20" t="inlineStr">
        <is>
          <t>Maintainability</t>
        </is>
      </c>
      <c r="C28" s="6" t="inlineStr">
        <is>
          <t>Problems during the demo could be explained or corrected by the research team without rewriting the whole workflow.</t>
        </is>
      </c>
      <c r="D28" s="21">
        <f>COUNT(Responses!$AD$6:$AD$35)</f>
        <v/>
      </c>
      <c r="E28" s="25">
        <f>IFERROR(AVERAGE(Responses!$AD$6:$AD$35),"")</f>
        <v/>
      </c>
      <c r="F28" s="20">
        <f>IF(E28="","",INDEX(Summary!$C$26:$C$30,MATCH(E28,Summary!$A$26:$A$30,1)))</f>
        <v/>
      </c>
    </row>
    <row r="29">
      <c r="A29" s="20" t="inlineStr">
        <is>
          <t>PO1</t>
        </is>
      </c>
      <c r="B29" s="20" t="inlineStr">
        <is>
          <t>Portability</t>
        </is>
      </c>
      <c r="C29" s="6" t="inlineStr">
        <is>
          <t>I can use SmartFlow on the office computer (web) assigned to our unit.</t>
        </is>
      </c>
      <c r="D29" s="21">
        <f>COUNT(Responses!$AE$6:$AE$35)</f>
        <v/>
      </c>
      <c r="E29" s="25">
        <f>IFERROR(AVERAGE(Responses!$AE$6:$AE$35),"")</f>
        <v/>
      </c>
      <c r="F29" s="20">
        <f>IF(E29="","",INDEX(Summary!$C$26:$C$30,MATCH(E29,Summary!$A$26:$A$30,1)))</f>
        <v/>
      </c>
    </row>
    <row r="30">
      <c r="A30" s="20" t="inlineStr">
        <is>
          <t>PO2</t>
        </is>
      </c>
      <c r="B30" s="20" t="inlineStr">
        <is>
          <t>Portability</t>
        </is>
      </c>
      <c r="C30" s="6" t="inlineStr">
        <is>
          <t>I can use SmartFlow on an Android phone for scanning (or I saw a colleague do so successfully).</t>
        </is>
      </c>
      <c r="D30" s="21">
        <f>COUNT(Responses!$AF$6:$AF$35)</f>
        <v/>
      </c>
      <c r="E30" s="25">
        <f>IFERROR(AVERAGE(Responses!$AF$6:$AF$35),"")</f>
        <v/>
      </c>
      <c r="F30" s="20">
        <f>IF(E30="","",INDEX(Summary!$C$26:$C$30,MATCH(E30,Summary!$A$26:$A$30,1)))</f>
        <v/>
      </c>
    </row>
    <row r="31">
      <c r="A31" s="20" t="inlineStr">
        <is>
          <t>PO3</t>
        </is>
      </c>
      <c r="B31" s="20" t="inlineStr">
        <is>
          <t>Portability</t>
        </is>
      </c>
      <c r="C31" s="6" t="inlineStr">
        <is>
          <t>Moving between offices / devices still makes sense for tracking the same folder.</t>
        </is>
      </c>
      <c r="D31" s="21">
        <f>COUNT(Responses!$AG$6:$AG$35)</f>
        <v/>
      </c>
      <c r="E31" s="25">
        <f>IFERROR(AVERAGE(Responses!$AG$6:$AG$35),"")</f>
        <v/>
      </c>
      <c r="F31" s="20">
        <f>IF(E31="","",INDEX(Summary!$C$26:$C$30,MATCH(E31,Summary!$A$26:$A$30,1)))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2026-10-25T16:23:39Z</dcterms:created>
  <dcterms:modified xsi:type="dcterms:W3CDTF">2026-10-25T16:23:39Z</dcterms:modified>
</cp:coreProperties>
</file>