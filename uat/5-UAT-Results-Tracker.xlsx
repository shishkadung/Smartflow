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aff" sheetId="2" state="visible" r:id="rId2"/>
    <sheet name="Head" sheetId="3" state="visible" r:id="rId3"/>
    <sheet name="Admin" sheetId="4" state="visible" r:id="rId4"/>
    <sheet name="SUS" sheetId="5" state="visible" r:id="rId5"/>
    <sheet name="Usefulness" sheetId="6" state="visible" r:id="rId6"/>
    <sheet name="Issues" sheetId="7" state="visible" r:id="rId7"/>
    <sheet name="Summary"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0B1F3A"/>
      <sz val="14"/>
    </font>
    <font>
      <name val="Arial"/>
      <i val="1"/>
      <color rgb="005B6678"/>
      <sz val="9"/>
    </font>
    <font>
      <name val="Arial"/>
      <b val="1"/>
      <color rgb="000B1F3A"/>
      <sz val="11"/>
    </font>
    <font>
      <name val="Arial"/>
      <b val="1"/>
      <sz val="10"/>
    </font>
    <font>
      <name val="Arial"/>
      <sz val="10"/>
    </font>
    <font>
      <name val="Arial"/>
      <b val="1"/>
      <color rgb="00FFFFFF"/>
      <sz val="10"/>
    </font>
    <font>
      <name val="Arial"/>
      <color rgb="000000FF"/>
      <sz val="10"/>
    </font>
    <font>
      <name val="Arial"/>
      <b val="1"/>
      <color rgb="00B7791F"/>
      <sz val="10"/>
    </font>
    <font>
      <name val="Arial"/>
      <b val="1"/>
      <color rgb="000B1F3A"/>
      <sz val="12"/>
    </font>
  </fonts>
  <fills count="5">
    <fill>
      <patternFill/>
    </fill>
    <fill>
      <patternFill patternType="gray125"/>
    </fill>
    <fill>
      <patternFill patternType="solid">
        <fgColor rgb="000B1F3A"/>
      </patternFill>
    </fill>
    <fill>
      <patternFill patternType="solid">
        <fgColor rgb="00FFF8DC"/>
      </patternFill>
    </fill>
    <fill>
      <patternFill patternType="solid">
        <fgColor rgb="00EEF2F7"/>
      </patternFill>
    </fill>
  </fills>
  <borders count="2">
    <border>
      <left/>
      <right/>
      <top/>
      <bottom/>
      <diagonal/>
    </border>
    <border>
      <left style="thin">
        <color rgb="00B6BFCB"/>
      </left>
      <right style="thin">
        <color rgb="00B6BFCB"/>
      </right>
      <top style="thin">
        <color rgb="00B6BFCB"/>
      </top>
      <bottom style="thin">
        <color rgb="00B6BFCB"/>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5" fillId="0" borderId="0" pivotButton="0" quotePrefix="0" xfId="0"/>
    <xf numFmtId="0" fontId="7"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3" borderId="1" applyAlignment="1" pivotButton="0" quotePrefix="0" xfId="0">
      <alignment horizontal="center" vertical="center" wrapText="1"/>
    </xf>
    <xf numFmtId="1" fontId="5" fillId="4" borderId="1" applyAlignment="1" pivotButton="0" quotePrefix="0" xfId="0">
      <alignment horizontal="center" vertical="center" wrapText="1"/>
    </xf>
    <xf numFmtId="9"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1" fontId="7" fillId="3" borderId="1" applyAlignment="1" pivotButton="0" quotePrefix="0" xfId="0">
      <alignment horizontal="center" vertical="center" wrapText="1"/>
    </xf>
    <xf numFmtId="164" fontId="4" fillId="4" borderId="1" applyAlignment="1" pivotButton="0" quotePrefix="0" xfId="0">
      <alignment horizontal="center" vertical="center" wrapText="1"/>
    </xf>
    <xf numFmtId="1" fontId="4"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7" fillId="3" borderId="1" applyAlignment="1" pivotButton="0" quotePrefix="0" xfId="0">
      <alignment horizontal="left" vertical="top" wrapText="1"/>
    </xf>
    <xf numFmtId="0" fontId="9" fillId="0" borderId="0" pivotButton="0" quotePrefix="0" xfId="0"/>
    <xf numFmtId="9" fontId="5" fillId="4" borderId="1" applyAlignment="1" pivotButton="0" quotePrefix="0" xfId="0">
      <alignment horizontal="center" vertical="center" wrapText="1"/>
    </xf>
    <xf numFmtId="0" fontId="4" fillId="0" borderId="0" applyAlignment="1" pivotButton="0" quotePrefix="0" xfId="0">
      <alignment horizontal="left" vertical="top" wrapText="1"/>
    </xf>
    <xf numFmtId="0" fontId="4" fillId="4" borderId="1" applyAlignment="1" pivotButton="0" quotePrefix="0" xfId="0">
      <alignment horizontal="center" vertical="center" wrapText="1"/>
    </xf>
  </cellXfs>
  <cellStyles count="1">
    <cellStyle name="Normal" xfId="0" builtinId="0" hidden="0"/>
  </cellStyles>
  <dxfs count="2">
    <dxf>
      <font>
        <name val="Arial"/>
        <b val="1"/>
        <color rgb="00006100"/>
      </font>
      <fill>
        <patternFill patternType="solid">
          <fgColor rgb="00C6EFCE"/>
          <bgColor rgb="00C6EFCE"/>
        </patternFill>
      </fill>
    </dxf>
    <dxf>
      <font>
        <name val="Arial"/>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4"/>
  <sheetViews>
    <sheetView workbookViewId="0">
      <selection activeCell="A1" sqref="A1"/>
    </sheetView>
  </sheetViews>
  <sheetFormatPr baseColWidth="8" defaultRowHeight="15"/>
  <cols>
    <col width="36" customWidth="1" min="1" max="1"/>
    <col width="110" customWidth="1" min="2" max="2"/>
  </cols>
  <sheetData>
    <row r="1">
      <c r="A1" s="1" t="inlineStr">
        <is>
          <t>SmartFlow UAT results tracker</t>
        </is>
      </c>
    </row>
    <row r="2">
      <c r="A2" s="2" t="inlineStr">
        <is>
          <t>Type the results from each tester's booklet here. The grey cells calculate by themselves.</t>
        </is>
      </c>
    </row>
    <row r="4">
      <c r="A4" s="3" t="inlineStr">
        <is>
          <t>How to use it</t>
        </is>
      </c>
    </row>
    <row r="5">
      <c r="A5" s="4" t="inlineStr">
        <is>
          <t>1</t>
        </is>
      </c>
      <c r="B5" s="5" t="inlineStr">
        <is>
          <t>Give every tester a code (Staff S-01 to S-10, Head H-01 to H-10, Admin A-01 to A-10). Write the code on the booklet.</t>
        </is>
      </c>
    </row>
    <row r="6">
      <c r="A6" s="4" t="inlineStr">
        <is>
          <t>2</t>
        </is>
      </c>
      <c r="B6" s="5" t="inlineStr">
        <is>
          <t>Role sheets (Staff, Head, Admin): type Pass, Partial, Fail or N/A for each task, the minutes it took and the hints you gave.</t>
        </is>
      </c>
    </row>
    <row r="7">
      <c r="A7" s="4" t="inlineStr">
        <is>
          <t>3</t>
        </is>
      </c>
      <c r="B7" s="5" t="inlineStr">
        <is>
          <t>SUS: type the 10 answers (1 to 5) exactly as ticked. The score is worked out for you. Usefulness: type the 5 ratings (1 to 5).</t>
        </is>
      </c>
    </row>
    <row r="8">
      <c r="A8" s="4" t="inlineStr">
        <is>
          <t>4</t>
        </is>
      </c>
      <c r="B8" s="5" t="inlineStr">
        <is>
          <t>Issues: add one row for every problem found, with its severity and later its status.</t>
        </is>
      </c>
    </row>
    <row r="9">
      <c r="A9" s="4" t="inlineStr">
        <is>
          <t>5</t>
        </is>
      </c>
      <c r="B9" s="5" t="inlineStr">
        <is>
          <t>Summary: read the pass rates, SUS, open problems and whether the exit criteria are met. Do not type on this sheet.</t>
        </is>
      </c>
    </row>
    <row r="10">
      <c r="A10" s="3" t="inlineStr">
        <is>
          <t>Colours</t>
        </is>
      </c>
    </row>
    <row r="11">
      <c r="A11" s="4" t="inlineStr">
        <is>
          <t>Yellow cell, blue text</t>
        </is>
      </c>
      <c r="B11" s="5" t="inlineStr">
        <is>
          <t>Type here.</t>
        </is>
      </c>
    </row>
    <row r="12">
      <c r="A12" s="4" t="inlineStr">
        <is>
          <t>Grey cell</t>
        </is>
      </c>
      <c r="B12" s="5" t="inlineStr">
        <is>
          <t>Calculated. Do not type here.</t>
        </is>
      </c>
    </row>
    <row r="13">
      <c r="A13" s="3" t="inlineStr">
        <is>
          <t>Definitions</t>
        </is>
      </c>
    </row>
    <row r="14">
      <c r="A14" s="4" t="inlineStr">
        <is>
          <t>Pass rate</t>
        </is>
      </c>
      <c r="B14" s="5" t="inlineStr">
        <is>
          <t>Pass divided by (Pass + Partial + Fail). N/A is left out. A Partial result does not count as a pass.</t>
        </is>
      </c>
    </row>
    <row r="15">
      <c r="A15" s="4" t="inlineStr">
        <is>
          <t>Key task</t>
        </is>
      </c>
      <c r="B15" s="5" t="inlineStr">
        <is>
          <t>A task marked with a star (★) in the booklet. The key-task pass rate averages these tasks only.</t>
        </is>
      </c>
    </row>
    <row r="16">
      <c r="A16" s="4" t="inlineStr">
        <is>
          <t>SUS score</t>
        </is>
      </c>
      <c r="B16" s="5" t="inlineStr">
        <is>
          <t>For odd statements the answer minus 1, for even statements 5 minus the answer, added up and multiplied by 2.5 (0 to 100). 68 is the usual average.</t>
        </is>
      </c>
    </row>
    <row r="17">
      <c r="A17" s="4" t="inlineStr">
        <is>
          <t>Unresolved problem</t>
        </is>
      </c>
      <c r="B17" s="5" t="inlineStr">
        <is>
          <t>Any problem whose status is not Fixed or Won't fix (an empty status counts as unresolved).</t>
        </is>
      </c>
    </row>
    <row r="19">
      <c r="A19" s="3" t="inlineStr">
        <is>
          <t>Example (shows the format only; do not copy into the sheets)</t>
        </is>
      </c>
    </row>
    <row r="20">
      <c r="A20" s="6" t="inlineStr">
        <is>
          <t>Where</t>
        </is>
      </c>
      <c r="B20" s="6" t="inlineStr">
        <is>
          <t>Example entry</t>
        </is>
      </c>
    </row>
    <row r="21">
      <c r="A21" s="7" t="inlineStr">
        <is>
          <t>Staff sheet, S3, tester S-01</t>
        </is>
      </c>
      <c r="B21" s="8" t="inlineStr">
        <is>
          <t>Pass</t>
        </is>
      </c>
    </row>
    <row r="22">
      <c r="A22" s="7" t="inlineStr">
        <is>
          <t>Staff sheet, minutes for S3, tester S-01</t>
        </is>
      </c>
      <c r="B22" s="8" t="inlineStr">
        <is>
          <t>4</t>
        </is>
      </c>
    </row>
    <row r="23">
      <c r="A23" s="7" t="inlineStr">
        <is>
          <t>SUS sheet, tester S-01</t>
        </is>
      </c>
      <c r="B23" s="8" t="inlineStr">
        <is>
          <t>Role = Staff, answers 4 2 4 1 4 2 5 1 4 2 -&gt; score 82.5</t>
        </is>
      </c>
    </row>
    <row r="24">
      <c r="A24" s="7" t="inlineStr">
        <is>
          <t>Issues sheet</t>
        </is>
      </c>
      <c r="B24" s="8" t="inlineStr">
        <is>
          <t>S-01 | Staff | S5 | Documents | The Send button was hard to find | Major | Open</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c r="A1" s="1" t="inlineStr">
        <is>
          <t>Staff results</t>
        </is>
      </c>
    </row>
    <row r="2">
      <c r="A2" s="2" t="inlineStr">
        <is>
          <t>Result per task, then minutes, then hints given. Yellow cells are for typing.</t>
        </is>
      </c>
    </row>
    <row r="4">
      <c r="A4" s="4" t="inlineStr">
        <is>
          <t>Key task</t>
        </is>
      </c>
      <c r="B4" s="9" t="inlineStr">
        <is>
          <t>★</t>
        </is>
      </c>
      <c r="C4" s="9" t="inlineStr">
        <is>
          <t>★</t>
        </is>
      </c>
      <c r="D4" s="9" t="inlineStr">
        <is>
          <t>★</t>
        </is>
      </c>
      <c r="E4" s="9" t="n"/>
      <c r="F4" s="9" t="inlineStr">
        <is>
          <t>★</t>
        </is>
      </c>
      <c r="G4" s="9" t="inlineStr">
        <is>
          <t>★</t>
        </is>
      </c>
      <c r="H4" s="9" t="inlineStr">
        <is>
          <t>★</t>
        </is>
      </c>
      <c r="I4" s="9" t="n"/>
      <c r="J4" s="9" t="n"/>
      <c r="K4" s="9" t="inlineStr">
        <is>
          <t>★</t>
        </is>
      </c>
      <c r="L4" s="9" t="n"/>
      <c r="M4" s="9" t="inlineStr">
        <is>
          <t>★</t>
        </is>
      </c>
      <c r="N4" s="9" t="n"/>
      <c r="O4" s="9" t="n"/>
      <c r="P4" s="9" t="n"/>
    </row>
    <row r="5">
      <c r="A5" s="6" t="inlineStr">
        <is>
          <t>Tester code</t>
        </is>
      </c>
      <c r="B5" s="6" t="inlineStr">
        <is>
          <t>S1</t>
        </is>
      </c>
      <c r="C5" s="6" t="inlineStr">
        <is>
          <t>S2</t>
        </is>
      </c>
      <c r="D5" s="6" t="inlineStr">
        <is>
          <t>S3</t>
        </is>
      </c>
      <c r="E5" s="6" t="inlineStr">
        <is>
          <t>S4</t>
        </is>
      </c>
      <c r="F5" s="6" t="inlineStr">
        <is>
          <t>S5</t>
        </is>
      </c>
      <c r="G5" s="6" t="inlineStr">
        <is>
          <t>S6</t>
        </is>
      </c>
      <c r="H5" s="6" t="inlineStr">
        <is>
          <t>S7</t>
        </is>
      </c>
      <c r="I5" s="6" t="inlineStr">
        <is>
          <t>S8</t>
        </is>
      </c>
      <c r="J5" s="6" t="inlineStr">
        <is>
          <t>S9</t>
        </is>
      </c>
      <c r="K5" s="6" t="inlineStr">
        <is>
          <t>S10</t>
        </is>
      </c>
      <c r="L5" s="6" t="inlineStr">
        <is>
          <t>S11</t>
        </is>
      </c>
      <c r="M5" s="6" t="inlineStr">
        <is>
          <t>S12</t>
        </is>
      </c>
      <c r="N5" s="6" t="inlineStr">
        <is>
          <t>S13</t>
        </is>
      </c>
      <c r="O5" s="6" t="inlineStr">
        <is>
          <t>S14</t>
        </is>
      </c>
      <c r="P5" s="6" t="inlineStr">
        <is>
          <t>S15</t>
        </is>
      </c>
    </row>
    <row r="6">
      <c r="A6" s="10" t="inlineStr">
        <is>
          <t>S-01</t>
        </is>
      </c>
      <c r="B6" s="10" t="n"/>
      <c r="C6" s="10" t="n"/>
      <c r="D6" s="10" t="n"/>
      <c r="E6" s="10" t="n"/>
      <c r="F6" s="10" t="n"/>
      <c r="G6" s="10" t="n"/>
      <c r="H6" s="10" t="n"/>
      <c r="I6" s="10" t="n"/>
      <c r="J6" s="10" t="n"/>
      <c r="K6" s="10" t="n"/>
      <c r="L6" s="10" t="n"/>
      <c r="M6" s="10" t="n"/>
      <c r="N6" s="10" t="n"/>
      <c r="O6" s="10" t="n"/>
      <c r="P6" s="10" t="n"/>
    </row>
    <row r="7">
      <c r="A7" s="10" t="inlineStr">
        <is>
          <t>S-02</t>
        </is>
      </c>
      <c r="B7" s="10" t="n"/>
      <c r="C7" s="10" t="n"/>
      <c r="D7" s="10" t="n"/>
      <c r="E7" s="10" t="n"/>
      <c r="F7" s="10" t="n"/>
      <c r="G7" s="10" t="n"/>
      <c r="H7" s="10" t="n"/>
      <c r="I7" s="10" t="n"/>
      <c r="J7" s="10" t="n"/>
      <c r="K7" s="10" t="n"/>
      <c r="L7" s="10" t="n"/>
      <c r="M7" s="10" t="n"/>
      <c r="N7" s="10" t="n"/>
      <c r="O7" s="10" t="n"/>
      <c r="P7" s="10" t="n"/>
    </row>
    <row r="8">
      <c r="A8" s="10" t="inlineStr">
        <is>
          <t>S-03</t>
        </is>
      </c>
      <c r="B8" s="10" t="n"/>
      <c r="C8" s="10" t="n"/>
      <c r="D8" s="10" t="n"/>
      <c r="E8" s="10" t="n"/>
      <c r="F8" s="10" t="n"/>
      <c r="G8" s="10" t="n"/>
      <c r="H8" s="10" t="n"/>
      <c r="I8" s="10" t="n"/>
      <c r="J8" s="10" t="n"/>
      <c r="K8" s="10" t="n"/>
      <c r="L8" s="10" t="n"/>
      <c r="M8" s="10" t="n"/>
      <c r="N8" s="10" t="n"/>
      <c r="O8" s="10" t="n"/>
      <c r="P8" s="10" t="n"/>
    </row>
    <row r="9">
      <c r="A9" s="10" t="inlineStr">
        <is>
          <t>S-04</t>
        </is>
      </c>
      <c r="B9" s="10" t="n"/>
      <c r="C9" s="10" t="n"/>
      <c r="D9" s="10" t="n"/>
      <c r="E9" s="10" t="n"/>
      <c r="F9" s="10" t="n"/>
      <c r="G9" s="10" t="n"/>
      <c r="H9" s="10" t="n"/>
      <c r="I9" s="10" t="n"/>
      <c r="J9" s="10" t="n"/>
      <c r="K9" s="10" t="n"/>
      <c r="L9" s="10" t="n"/>
      <c r="M9" s="10" t="n"/>
      <c r="N9" s="10" t="n"/>
      <c r="O9" s="10" t="n"/>
      <c r="P9" s="10" t="n"/>
    </row>
    <row r="10">
      <c r="A10" s="10" t="inlineStr">
        <is>
          <t>S-05</t>
        </is>
      </c>
      <c r="B10" s="10" t="n"/>
      <c r="C10" s="10" t="n"/>
      <c r="D10" s="10" t="n"/>
      <c r="E10" s="10" t="n"/>
      <c r="F10" s="10" t="n"/>
      <c r="G10" s="10" t="n"/>
      <c r="H10" s="10" t="n"/>
      <c r="I10" s="10" t="n"/>
      <c r="J10" s="10" t="n"/>
      <c r="K10" s="10" t="n"/>
      <c r="L10" s="10" t="n"/>
      <c r="M10" s="10" t="n"/>
      <c r="N10" s="10" t="n"/>
      <c r="O10" s="10" t="n"/>
      <c r="P10" s="10" t="n"/>
    </row>
    <row r="11">
      <c r="A11" s="10" t="inlineStr">
        <is>
          <t>S-06</t>
        </is>
      </c>
      <c r="B11" s="10" t="n"/>
      <c r="C11" s="10" t="n"/>
      <c r="D11" s="10" t="n"/>
      <c r="E11" s="10" t="n"/>
      <c r="F11" s="10" t="n"/>
      <c r="G11" s="10" t="n"/>
      <c r="H11" s="10" t="n"/>
      <c r="I11" s="10" t="n"/>
      <c r="J11" s="10" t="n"/>
      <c r="K11" s="10" t="n"/>
      <c r="L11" s="10" t="n"/>
      <c r="M11" s="10" t="n"/>
      <c r="N11" s="10" t="n"/>
      <c r="O11" s="10" t="n"/>
      <c r="P11" s="10" t="n"/>
    </row>
    <row r="12">
      <c r="A12" s="10" t="inlineStr">
        <is>
          <t>S-07</t>
        </is>
      </c>
      <c r="B12" s="10" t="n"/>
      <c r="C12" s="10" t="n"/>
      <c r="D12" s="10" t="n"/>
      <c r="E12" s="10" t="n"/>
      <c r="F12" s="10" t="n"/>
      <c r="G12" s="10" t="n"/>
      <c r="H12" s="10" t="n"/>
      <c r="I12" s="10" t="n"/>
      <c r="J12" s="10" t="n"/>
      <c r="K12" s="10" t="n"/>
      <c r="L12" s="10" t="n"/>
      <c r="M12" s="10" t="n"/>
      <c r="N12" s="10" t="n"/>
      <c r="O12" s="10" t="n"/>
      <c r="P12" s="10" t="n"/>
    </row>
    <row r="13">
      <c r="A13" s="10" t="inlineStr">
        <is>
          <t>S-08</t>
        </is>
      </c>
      <c r="B13" s="10" t="n"/>
      <c r="C13" s="10" t="n"/>
      <c r="D13" s="10" t="n"/>
      <c r="E13" s="10" t="n"/>
      <c r="F13" s="10" t="n"/>
      <c r="G13" s="10" t="n"/>
      <c r="H13" s="10" t="n"/>
      <c r="I13" s="10" t="n"/>
      <c r="J13" s="10" t="n"/>
      <c r="K13" s="10" t="n"/>
      <c r="L13" s="10" t="n"/>
      <c r="M13" s="10" t="n"/>
      <c r="N13" s="10" t="n"/>
      <c r="O13" s="10" t="n"/>
      <c r="P13" s="10" t="n"/>
    </row>
    <row r="14">
      <c r="A14" s="10" t="inlineStr">
        <is>
          <t>S-09</t>
        </is>
      </c>
      <c r="B14" s="10" t="n"/>
      <c r="C14" s="10" t="n"/>
      <c r="D14" s="10" t="n"/>
      <c r="E14" s="10" t="n"/>
      <c r="F14" s="10" t="n"/>
      <c r="G14" s="10" t="n"/>
      <c r="H14" s="10" t="n"/>
      <c r="I14" s="10" t="n"/>
      <c r="J14" s="10" t="n"/>
      <c r="K14" s="10" t="n"/>
      <c r="L14" s="10" t="n"/>
      <c r="M14" s="10" t="n"/>
      <c r="N14" s="10" t="n"/>
      <c r="O14" s="10" t="n"/>
      <c r="P14" s="10" t="n"/>
    </row>
    <row r="15">
      <c r="A15" s="10" t="inlineStr">
        <is>
          <t>S-10</t>
        </is>
      </c>
      <c r="B15" s="10" t="n"/>
      <c r="C15" s="10" t="n"/>
      <c r="D15" s="10" t="n"/>
      <c r="E15" s="10" t="n"/>
      <c r="F15" s="10" t="n"/>
      <c r="G15" s="10" t="n"/>
      <c r="H15" s="10" t="n"/>
      <c r="I15" s="10" t="n"/>
      <c r="J15" s="10" t="n"/>
      <c r="K15" s="10" t="n"/>
      <c r="L15" s="10" t="n"/>
      <c r="M15" s="10" t="n"/>
      <c r="N15" s="10" t="n"/>
      <c r="O15" s="10" t="n"/>
      <c r="P15" s="10" t="n"/>
    </row>
    <row r="17">
      <c r="A17" s="4" t="inlineStr">
        <is>
          <t>Pass</t>
        </is>
      </c>
      <c r="B17" s="11">
        <f>COUNTIF(B$6:B$15,"Pass")</f>
        <v/>
      </c>
      <c r="C17" s="11">
        <f>COUNTIF(C$6:C$15,"Pass")</f>
        <v/>
      </c>
      <c r="D17" s="11">
        <f>COUNTIF(D$6:D$15,"Pass")</f>
        <v/>
      </c>
      <c r="E17" s="11">
        <f>COUNTIF(E$6:E$15,"Pass")</f>
        <v/>
      </c>
      <c r="F17" s="11">
        <f>COUNTIF(F$6:F$15,"Pass")</f>
        <v/>
      </c>
      <c r="G17" s="11">
        <f>COUNTIF(G$6:G$15,"Pass")</f>
        <v/>
      </c>
      <c r="H17" s="11">
        <f>COUNTIF(H$6:H$15,"Pass")</f>
        <v/>
      </c>
      <c r="I17" s="11">
        <f>COUNTIF(I$6:I$15,"Pass")</f>
        <v/>
      </c>
      <c r="J17" s="11">
        <f>COUNTIF(J$6:J$15,"Pass")</f>
        <v/>
      </c>
      <c r="K17" s="11">
        <f>COUNTIF(K$6:K$15,"Pass")</f>
        <v/>
      </c>
      <c r="L17" s="11">
        <f>COUNTIF(L$6:L$15,"Pass")</f>
        <v/>
      </c>
      <c r="M17" s="11">
        <f>COUNTIF(M$6:M$15,"Pass")</f>
        <v/>
      </c>
      <c r="N17" s="11">
        <f>COUNTIF(N$6:N$15,"Pass")</f>
        <v/>
      </c>
      <c r="O17" s="11">
        <f>COUNTIF(O$6:O$15,"Pass")</f>
        <v/>
      </c>
      <c r="P17" s="11">
        <f>COUNTIF(P$6:P$15,"Pass")</f>
        <v/>
      </c>
    </row>
    <row r="18">
      <c r="A18" s="4" t="inlineStr">
        <is>
          <t>Partial</t>
        </is>
      </c>
      <c r="B18" s="11">
        <f>COUNTIF(B$6:B$15,"Partial")</f>
        <v/>
      </c>
      <c r="C18" s="11">
        <f>COUNTIF(C$6:C$15,"Partial")</f>
        <v/>
      </c>
      <c r="D18" s="11">
        <f>COUNTIF(D$6:D$15,"Partial")</f>
        <v/>
      </c>
      <c r="E18" s="11">
        <f>COUNTIF(E$6:E$15,"Partial")</f>
        <v/>
      </c>
      <c r="F18" s="11">
        <f>COUNTIF(F$6:F$15,"Partial")</f>
        <v/>
      </c>
      <c r="G18" s="11">
        <f>COUNTIF(G$6:G$15,"Partial")</f>
        <v/>
      </c>
      <c r="H18" s="11">
        <f>COUNTIF(H$6:H$15,"Partial")</f>
        <v/>
      </c>
      <c r="I18" s="11">
        <f>COUNTIF(I$6:I$15,"Partial")</f>
        <v/>
      </c>
      <c r="J18" s="11">
        <f>COUNTIF(J$6:J$15,"Partial")</f>
        <v/>
      </c>
      <c r="K18" s="11">
        <f>COUNTIF(K$6:K$15,"Partial")</f>
        <v/>
      </c>
      <c r="L18" s="11">
        <f>COUNTIF(L$6:L$15,"Partial")</f>
        <v/>
      </c>
      <c r="M18" s="11">
        <f>COUNTIF(M$6:M$15,"Partial")</f>
        <v/>
      </c>
      <c r="N18" s="11">
        <f>COUNTIF(N$6:N$15,"Partial")</f>
        <v/>
      </c>
      <c r="O18" s="11">
        <f>COUNTIF(O$6:O$15,"Partial")</f>
        <v/>
      </c>
      <c r="P18" s="11">
        <f>COUNTIF(P$6:P$15,"Partial")</f>
        <v/>
      </c>
    </row>
    <row r="19">
      <c r="A19" s="4" t="inlineStr">
        <is>
          <t>Fail</t>
        </is>
      </c>
      <c r="B19" s="11">
        <f>COUNTIF(B$6:B$15,"Fail")</f>
        <v/>
      </c>
      <c r="C19" s="11">
        <f>COUNTIF(C$6:C$15,"Fail")</f>
        <v/>
      </c>
      <c r="D19" s="11">
        <f>COUNTIF(D$6:D$15,"Fail")</f>
        <v/>
      </c>
      <c r="E19" s="11">
        <f>COUNTIF(E$6:E$15,"Fail")</f>
        <v/>
      </c>
      <c r="F19" s="11">
        <f>COUNTIF(F$6:F$15,"Fail")</f>
        <v/>
      </c>
      <c r="G19" s="11">
        <f>COUNTIF(G$6:G$15,"Fail")</f>
        <v/>
      </c>
      <c r="H19" s="11">
        <f>COUNTIF(H$6:H$15,"Fail")</f>
        <v/>
      </c>
      <c r="I19" s="11">
        <f>COUNTIF(I$6:I$15,"Fail")</f>
        <v/>
      </c>
      <c r="J19" s="11">
        <f>COUNTIF(J$6:J$15,"Fail")</f>
        <v/>
      </c>
      <c r="K19" s="11">
        <f>COUNTIF(K$6:K$15,"Fail")</f>
        <v/>
      </c>
      <c r="L19" s="11">
        <f>COUNTIF(L$6:L$15,"Fail")</f>
        <v/>
      </c>
      <c r="M19" s="11">
        <f>COUNTIF(M$6:M$15,"Fail")</f>
        <v/>
      </c>
      <c r="N19" s="11">
        <f>COUNTIF(N$6:N$15,"Fail")</f>
        <v/>
      </c>
      <c r="O19" s="11">
        <f>COUNTIF(O$6:O$15,"Fail")</f>
        <v/>
      </c>
      <c r="P19" s="11">
        <f>COUNTIF(P$6:P$15,"Fail")</f>
        <v/>
      </c>
    </row>
    <row r="20">
      <c r="A20" s="4" t="inlineStr">
        <is>
          <t>N/A</t>
        </is>
      </c>
      <c r="B20" s="11">
        <f>COUNTIF(B$6:B$15,"N/A")</f>
        <v/>
      </c>
      <c r="C20" s="11">
        <f>COUNTIF(C$6:C$15,"N/A")</f>
        <v/>
      </c>
      <c r="D20" s="11">
        <f>COUNTIF(D$6:D$15,"N/A")</f>
        <v/>
      </c>
      <c r="E20" s="11">
        <f>COUNTIF(E$6:E$15,"N/A")</f>
        <v/>
      </c>
      <c r="F20" s="11">
        <f>COUNTIF(F$6:F$15,"N/A")</f>
        <v/>
      </c>
      <c r="G20" s="11">
        <f>COUNTIF(G$6:G$15,"N/A")</f>
        <v/>
      </c>
      <c r="H20" s="11">
        <f>COUNTIF(H$6:H$15,"N/A")</f>
        <v/>
      </c>
      <c r="I20" s="11">
        <f>COUNTIF(I$6:I$15,"N/A")</f>
        <v/>
      </c>
      <c r="J20" s="11">
        <f>COUNTIF(J$6:J$15,"N/A")</f>
        <v/>
      </c>
      <c r="K20" s="11">
        <f>COUNTIF(K$6:K$15,"N/A")</f>
        <v/>
      </c>
      <c r="L20" s="11">
        <f>COUNTIF(L$6:L$15,"N/A")</f>
        <v/>
      </c>
      <c r="M20" s="11">
        <f>COUNTIF(M$6:M$15,"N/A")</f>
        <v/>
      </c>
      <c r="N20" s="11">
        <f>COUNTIF(N$6:N$15,"N/A")</f>
        <v/>
      </c>
      <c r="O20" s="11">
        <f>COUNTIF(O$6:O$15,"N/A")</f>
        <v/>
      </c>
      <c r="P20" s="11">
        <f>COUNTIF(P$6:P$15,"N/A")</f>
        <v/>
      </c>
    </row>
    <row r="21">
      <c r="A21" s="4" t="inlineStr">
        <is>
          <t>Pass rate</t>
        </is>
      </c>
      <c r="B21" s="12">
        <f>IF(SUM(B17:B19)=0,"",B17/SUM(B17:B19))</f>
        <v/>
      </c>
      <c r="C21" s="12">
        <f>IF(SUM(C17:C19)=0,"",C17/SUM(C17:C19))</f>
        <v/>
      </c>
      <c r="D21" s="12">
        <f>IF(SUM(D17:D19)=0,"",D17/SUM(D17:D19))</f>
        <v/>
      </c>
      <c r="E21" s="12">
        <f>IF(SUM(E17:E19)=0,"",E17/SUM(E17:E19))</f>
        <v/>
      </c>
      <c r="F21" s="12">
        <f>IF(SUM(F17:F19)=0,"",F17/SUM(F17:F19))</f>
        <v/>
      </c>
      <c r="G21" s="12">
        <f>IF(SUM(G17:G19)=0,"",G17/SUM(G17:G19))</f>
        <v/>
      </c>
      <c r="H21" s="12">
        <f>IF(SUM(H17:H19)=0,"",H17/SUM(H17:H19))</f>
        <v/>
      </c>
      <c r="I21" s="12">
        <f>IF(SUM(I17:I19)=0,"",I17/SUM(I17:I19))</f>
        <v/>
      </c>
      <c r="J21" s="12">
        <f>IF(SUM(J17:J19)=0,"",J17/SUM(J17:J19))</f>
        <v/>
      </c>
      <c r="K21" s="12">
        <f>IF(SUM(K17:K19)=0,"",K17/SUM(K17:K19))</f>
        <v/>
      </c>
      <c r="L21" s="12">
        <f>IF(SUM(L17:L19)=0,"",L17/SUM(L17:L19))</f>
        <v/>
      </c>
      <c r="M21" s="12">
        <f>IF(SUM(M17:M19)=0,"",M17/SUM(M17:M19))</f>
        <v/>
      </c>
      <c r="N21" s="12">
        <f>IF(SUM(N17:N19)=0,"",N17/SUM(N17:N19))</f>
        <v/>
      </c>
      <c r="O21" s="12">
        <f>IF(SUM(O17:O19)=0,"",O17/SUM(O17:O19))</f>
        <v/>
      </c>
      <c r="P21" s="12">
        <f>IF(SUM(P17:P19)=0,"",P17/SUM(P17:P19))</f>
        <v/>
      </c>
    </row>
    <row r="24">
      <c r="A24" s="3" t="inlineStr">
        <is>
          <t>Time on task (minutes)</t>
        </is>
      </c>
    </row>
    <row r="25">
      <c r="A25" s="6" t="inlineStr">
        <is>
          <t>Tester code</t>
        </is>
      </c>
      <c r="B25" s="6" t="inlineStr">
        <is>
          <t>S1</t>
        </is>
      </c>
      <c r="C25" s="6" t="inlineStr">
        <is>
          <t>S2</t>
        </is>
      </c>
      <c r="D25" s="6" t="inlineStr">
        <is>
          <t>S3</t>
        </is>
      </c>
      <c r="E25" s="6" t="inlineStr">
        <is>
          <t>S4</t>
        </is>
      </c>
      <c r="F25" s="6" t="inlineStr">
        <is>
          <t>S5</t>
        </is>
      </c>
      <c r="G25" s="6" t="inlineStr">
        <is>
          <t>S6</t>
        </is>
      </c>
      <c r="H25" s="6" t="inlineStr">
        <is>
          <t>S7</t>
        </is>
      </c>
      <c r="I25" s="6" t="inlineStr">
        <is>
          <t>S8</t>
        </is>
      </c>
      <c r="J25" s="6" t="inlineStr">
        <is>
          <t>S9</t>
        </is>
      </c>
      <c r="K25" s="6" t="inlineStr">
        <is>
          <t>S10</t>
        </is>
      </c>
      <c r="L25" s="6" t="inlineStr">
        <is>
          <t>S11</t>
        </is>
      </c>
      <c r="M25" s="6" t="inlineStr">
        <is>
          <t>S12</t>
        </is>
      </c>
      <c r="N25" s="6" t="inlineStr">
        <is>
          <t>S13</t>
        </is>
      </c>
      <c r="O25" s="6" t="inlineStr">
        <is>
          <t>S14</t>
        </is>
      </c>
      <c r="P25" s="6" t="inlineStr">
        <is>
          <t>S15</t>
        </is>
      </c>
    </row>
    <row r="26">
      <c r="A26" s="13">
        <f>A6</f>
        <v/>
      </c>
      <c r="B26" s="14" t="n"/>
      <c r="C26" s="14" t="n"/>
      <c r="D26" s="14" t="n"/>
      <c r="E26" s="14" t="n"/>
      <c r="F26" s="14" t="n"/>
      <c r="G26" s="14" t="n"/>
      <c r="H26" s="14" t="n"/>
      <c r="I26" s="14" t="n"/>
      <c r="J26" s="14" t="n"/>
      <c r="K26" s="14" t="n"/>
      <c r="L26" s="14" t="n"/>
      <c r="M26" s="14" t="n"/>
      <c r="N26" s="14" t="n"/>
      <c r="O26" s="14" t="n"/>
      <c r="P26" s="14" t="n"/>
    </row>
    <row r="27">
      <c r="A27" s="13">
        <f>A7</f>
        <v/>
      </c>
      <c r="B27" s="14" t="n"/>
      <c r="C27" s="14" t="n"/>
      <c r="D27" s="14" t="n"/>
      <c r="E27" s="14" t="n"/>
      <c r="F27" s="14" t="n"/>
      <c r="G27" s="14" t="n"/>
      <c r="H27" s="14" t="n"/>
      <c r="I27" s="14" t="n"/>
      <c r="J27" s="14" t="n"/>
      <c r="K27" s="14" t="n"/>
      <c r="L27" s="14" t="n"/>
      <c r="M27" s="14" t="n"/>
      <c r="N27" s="14" t="n"/>
      <c r="O27" s="14" t="n"/>
      <c r="P27" s="14" t="n"/>
    </row>
    <row r="28">
      <c r="A28" s="13">
        <f>A8</f>
        <v/>
      </c>
      <c r="B28" s="14" t="n"/>
      <c r="C28" s="14" t="n"/>
      <c r="D28" s="14" t="n"/>
      <c r="E28" s="14" t="n"/>
      <c r="F28" s="14" t="n"/>
      <c r="G28" s="14" t="n"/>
      <c r="H28" s="14" t="n"/>
      <c r="I28" s="14" t="n"/>
      <c r="J28" s="14" t="n"/>
      <c r="K28" s="14" t="n"/>
      <c r="L28" s="14" t="n"/>
      <c r="M28" s="14" t="n"/>
      <c r="N28" s="14" t="n"/>
      <c r="O28" s="14" t="n"/>
      <c r="P28" s="14" t="n"/>
    </row>
    <row r="29">
      <c r="A29" s="13">
        <f>A9</f>
        <v/>
      </c>
      <c r="B29" s="14" t="n"/>
      <c r="C29" s="14" t="n"/>
      <c r="D29" s="14" t="n"/>
      <c r="E29" s="14" t="n"/>
      <c r="F29" s="14" t="n"/>
      <c r="G29" s="14" t="n"/>
      <c r="H29" s="14" t="n"/>
      <c r="I29" s="14" t="n"/>
      <c r="J29" s="14" t="n"/>
      <c r="K29" s="14" t="n"/>
      <c r="L29" s="14" t="n"/>
      <c r="M29" s="14" t="n"/>
      <c r="N29" s="14" t="n"/>
      <c r="O29" s="14" t="n"/>
      <c r="P29" s="14" t="n"/>
    </row>
    <row r="30">
      <c r="A30" s="13">
        <f>A10</f>
        <v/>
      </c>
      <c r="B30" s="14" t="n"/>
      <c r="C30" s="14" t="n"/>
      <c r="D30" s="14" t="n"/>
      <c r="E30" s="14" t="n"/>
      <c r="F30" s="14" t="n"/>
      <c r="G30" s="14" t="n"/>
      <c r="H30" s="14" t="n"/>
      <c r="I30" s="14" t="n"/>
      <c r="J30" s="14" t="n"/>
      <c r="K30" s="14" t="n"/>
      <c r="L30" s="14" t="n"/>
      <c r="M30" s="14" t="n"/>
      <c r="N30" s="14" t="n"/>
      <c r="O30" s="14" t="n"/>
      <c r="P30" s="14" t="n"/>
    </row>
    <row r="31">
      <c r="A31" s="13">
        <f>A11</f>
        <v/>
      </c>
      <c r="B31" s="14" t="n"/>
      <c r="C31" s="14" t="n"/>
      <c r="D31" s="14" t="n"/>
      <c r="E31" s="14" t="n"/>
      <c r="F31" s="14" t="n"/>
      <c r="G31" s="14" t="n"/>
      <c r="H31" s="14" t="n"/>
      <c r="I31" s="14" t="n"/>
      <c r="J31" s="14" t="n"/>
      <c r="K31" s="14" t="n"/>
      <c r="L31" s="14" t="n"/>
      <c r="M31" s="14" t="n"/>
      <c r="N31" s="14" t="n"/>
      <c r="O31" s="14" t="n"/>
      <c r="P31" s="14" t="n"/>
    </row>
    <row r="32">
      <c r="A32" s="13">
        <f>A12</f>
        <v/>
      </c>
      <c r="B32" s="14" t="n"/>
      <c r="C32" s="14" t="n"/>
      <c r="D32" s="14" t="n"/>
      <c r="E32" s="14" t="n"/>
      <c r="F32" s="14" t="n"/>
      <c r="G32" s="14" t="n"/>
      <c r="H32" s="14" t="n"/>
      <c r="I32" s="14" t="n"/>
      <c r="J32" s="14" t="n"/>
      <c r="K32" s="14" t="n"/>
      <c r="L32" s="14" t="n"/>
      <c r="M32" s="14" t="n"/>
      <c r="N32" s="14" t="n"/>
      <c r="O32" s="14" t="n"/>
      <c r="P32" s="14" t="n"/>
    </row>
    <row r="33">
      <c r="A33" s="13">
        <f>A13</f>
        <v/>
      </c>
      <c r="B33" s="14" t="n"/>
      <c r="C33" s="14" t="n"/>
      <c r="D33" s="14" t="n"/>
      <c r="E33" s="14" t="n"/>
      <c r="F33" s="14" t="n"/>
      <c r="G33" s="14" t="n"/>
      <c r="H33" s="14" t="n"/>
      <c r="I33" s="14" t="n"/>
      <c r="J33" s="14" t="n"/>
      <c r="K33" s="14" t="n"/>
      <c r="L33" s="14" t="n"/>
      <c r="M33" s="14" t="n"/>
      <c r="N33" s="14" t="n"/>
      <c r="O33" s="14" t="n"/>
      <c r="P33" s="14" t="n"/>
    </row>
    <row r="34">
      <c r="A34" s="13">
        <f>A14</f>
        <v/>
      </c>
      <c r="B34" s="14" t="n"/>
      <c r="C34" s="14" t="n"/>
      <c r="D34" s="14" t="n"/>
      <c r="E34" s="14" t="n"/>
      <c r="F34" s="14" t="n"/>
      <c r="G34" s="14" t="n"/>
      <c r="H34" s="14" t="n"/>
      <c r="I34" s="14" t="n"/>
      <c r="J34" s="14" t="n"/>
      <c r="K34" s="14" t="n"/>
      <c r="L34" s="14" t="n"/>
      <c r="M34" s="14" t="n"/>
      <c r="N34" s="14" t="n"/>
      <c r="O34" s="14" t="n"/>
      <c r="P34" s="14" t="n"/>
    </row>
    <row r="35">
      <c r="A35" s="13">
        <f>A15</f>
        <v/>
      </c>
      <c r="B35" s="14" t="n"/>
      <c r="C35" s="14" t="n"/>
      <c r="D35" s="14" t="n"/>
      <c r="E35" s="14" t="n"/>
      <c r="F35" s="14" t="n"/>
      <c r="G35" s="14" t="n"/>
      <c r="H35" s="14" t="n"/>
      <c r="I35" s="14" t="n"/>
      <c r="J35" s="14" t="n"/>
      <c r="K35" s="14" t="n"/>
      <c r="L35" s="14" t="n"/>
      <c r="M35" s="14" t="n"/>
      <c r="N35" s="14" t="n"/>
      <c r="O35" s="14" t="n"/>
      <c r="P35" s="14" t="n"/>
    </row>
    <row r="37">
      <c r="A37" s="4" t="inlineStr">
        <is>
          <t>Average minutes</t>
        </is>
      </c>
      <c r="B37" s="15">
        <f>IFERROR(AVERAGE(B26:B35),"")</f>
        <v/>
      </c>
      <c r="C37" s="15">
        <f>IFERROR(AVERAGE(C26:C35),"")</f>
        <v/>
      </c>
      <c r="D37" s="15">
        <f>IFERROR(AVERAGE(D26:D35),"")</f>
        <v/>
      </c>
      <c r="E37" s="15">
        <f>IFERROR(AVERAGE(E26:E35),"")</f>
        <v/>
      </c>
      <c r="F37" s="15">
        <f>IFERROR(AVERAGE(F26:F35),"")</f>
        <v/>
      </c>
      <c r="G37" s="15">
        <f>IFERROR(AVERAGE(G26:G35),"")</f>
        <v/>
      </c>
      <c r="H37" s="15">
        <f>IFERROR(AVERAGE(H26:H35),"")</f>
        <v/>
      </c>
      <c r="I37" s="15">
        <f>IFERROR(AVERAGE(I26:I35),"")</f>
        <v/>
      </c>
      <c r="J37" s="15">
        <f>IFERROR(AVERAGE(J26:J35),"")</f>
        <v/>
      </c>
      <c r="K37" s="15">
        <f>IFERROR(AVERAGE(K26:K35),"")</f>
        <v/>
      </c>
      <c r="L37" s="15">
        <f>IFERROR(AVERAGE(L26:L35),"")</f>
        <v/>
      </c>
      <c r="M37" s="15">
        <f>IFERROR(AVERAGE(M26:M35),"")</f>
        <v/>
      </c>
      <c r="N37" s="15">
        <f>IFERROR(AVERAGE(N26:N35),"")</f>
        <v/>
      </c>
      <c r="O37" s="15">
        <f>IFERROR(AVERAGE(O26:O35),"")</f>
        <v/>
      </c>
      <c r="P37" s="15">
        <f>IFERROR(AVERAGE(P26:P35),"")</f>
        <v/>
      </c>
    </row>
    <row r="40">
      <c r="A40" s="3" t="inlineStr">
        <is>
          <t>Hints given (assists)</t>
        </is>
      </c>
    </row>
    <row r="41">
      <c r="A41" s="6" t="inlineStr">
        <is>
          <t>Tester code</t>
        </is>
      </c>
      <c r="B41" s="6" t="inlineStr">
        <is>
          <t>S1</t>
        </is>
      </c>
      <c r="C41" s="6" t="inlineStr">
        <is>
          <t>S2</t>
        </is>
      </c>
      <c r="D41" s="6" t="inlineStr">
        <is>
          <t>S3</t>
        </is>
      </c>
      <c r="E41" s="6" t="inlineStr">
        <is>
          <t>S4</t>
        </is>
      </c>
      <c r="F41" s="6" t="inlineStr">
        <is>
          <t>S5</t>
        </is>
      </c>
      <c r="G41" s="6" t="inlineStr">
        <is>
          <t>S6</t>
        </is>
      </c>
      <c r="H41" s="6" t="inlineStr">
        <is>
          <t>S7</t>
        </is>
      </c>
      <c r="I41" s="6" t="inlineStr">
        <is>
          <t>S8</t>
        </is>
      </c>
      <c r="J41" s="6" t="inlineStr">
        <is>
          <t>S9</t>
        </is>
      </c>
      <c r="K41" s="6" t="inlineStr">
        <is>
          <t>S10</t>
        </is>
      </c>
      <c r="L41" s="6" t="inlineStr">
        <is>
          <t>S11</t>
        </is>
      </c>
      <c r="M41" s="6" t="inlineStr">
        <is>
          <t>S12</t>
        </is>
      </c>
      <c r="N41" s="6" t="inlineStr">
        <is>
          <t>S13</t>
        </is>
      </c>
      <c r="O41" s="6" t="inlineStr">
        <is>
          <t>S14</t>
        </is>
      </c>
      <c r="P41" s="6" t="inlineStr">
        <is>
          <t>S15</t>
        </is>
      </c>
    </row>
    <row r="42">
      <c r="A42" s="13">
        <f>A6</f>
        <v/>
      </c>
      <c r="B42" s="14" t="n"/>
      <c r="C42" s="14" t="n"/>
      <c r="D42" s="14" t="n"/>
      <c r="E42" s="14" t="n"/>
      <c r="F42" s="14" t="n"/>
      <c r="G42" s="14" t="n"/>
      <c r="H42" s="14" t="n"/>
      <c r="I42" s="14" t="n"/>
      <c r="J42" s="14" t="n"/>
      <c r="K42" s="14" t="n"/>
      <c r="L42" s="14" t="n"/>
      <c r="M42" s="14" t="n"/>
      <c r="N42" s="14" t="n"/>
      <c r="O42" s="14" t="n"/>
      <c r="P42" s="14" t="n"/>
    </row>
    <row r="43">
      <c r="A43" s="13">
        <f>A7</f>
        <v/>
      </c>
      <c r="B43" s="14" t="n"/>
      <c r="C43" s="14" t="n"/>
      <c r="D43" s="14" t="n"/>
      <c r="E43" s="14" t="n"/>
      <c r="F43" s="14" t="n"/>
      <c r="G43" s="14" t="n"/>
      <c r="H43" s="14" t="n"/>
      <c r="I43" s="14" t="n"/>
      <c r="J43" s="14" t="n"/>
      <c r="K43" s="14" t="n"/>
      <c r="L43" s="14" t="n"/>
      <c r="M43" s="14" t="n"/>
      <c r="N43" s="14" t="n"/>
      <c r="O43" s="14" t="n"/>
      <c r="P43" s="14" t="n"/>
    </row>
    <row r="44">
      <c r="A44" s="13">
        <f>A8</f>
        <v/>
      </c>
      <c r="B44" s="14" t="n"/>
      <c r="C44" s="14" t="n"/>
      <c r="D44" s="14" t="n"/>
      <c r="E44" s="14" t="n"/>
      <c r="F44" s="14" t="n"/>
      <c r="G44" s="14" t="n"/>
      <c r="H44" s="14" t="n"/>
      <c r="I44" s="14" t="n"/>
      <c r="J44" s="14" t="n"/>
      <c r="K44" s="14" t="n"/>
      <c r="L44" s="14" t="n"/>
      <c r="M44" s="14" t="n"/>
      <c r="N44" s="14" t="n"/>
      <c r="O44" s="14" t="n"/>
      <c r="P44" s="14" t="n"/>
    </row>
    <row r="45">
      <c r="A45" s="13">
        <f>A9</f>
        <v/>
      </c>
      <c r="B45" s="14" t="n"/>
      <c r="C45" s="14" t="n"/>
      <c r="D45" s="14" t="n"/>
      <c r="E45" s="14" t="n"/>
      <c r="F45" s="14" t="n"/>
      <c r="G45" s="14" t="n"/>
      <c r="H45" s="14" t="n"/>
      <c r="I45" s="14" t="n"/>
      <c r="J45" s="14" t="n"/>
      <c r="K45" s="14" t="n"/>
      <c r="L45" s="14" t="n"/>
      <c r="M45" s="14" t="n"/>
      <c r="N45" s="14" t="n"/>
      <c r="O45" s="14" t="n"/>
      <c r="P45" s="14" t="n"/>
    </row>
    <row r="46">
      <c r="A46" s="13">
        <f>A10</f>
        <v/>
      </c>
      <c r="B46" s="14" t="n"/>
      <c r="C46" s="14" t="n"/>
      <c r="D46" s="14" t="n"/>
      <c r="E46" s="14" t="n"/>
      <c r="F46" s="14" t="n"/>
      <c r="G46" s="14" t="n"/>
      <c r="H46" s="14" t="n"/>
      <c r="I46" s="14" t="n"/>
      <c r="J46" s="14" t="n"/>
      <c r="K46" s="14" t="n"/>
      <c r="L46" s="14" t="n"/>
      <c r="M46" s="14" t="n"/>
      <c r="N46" s="14" t="n"/>
      <c r="O46" s="14" t="n"/>
      <c r="P46" s="14" t="n"/>
    </row>
    <row r="47">
      <c r="A47" s="13">
        <f>A11</f>
        <v/>
      </c>
      <c r="B47" s="14" t="n"/>
      <c r="C47" s="14" t="n"/>
      <c r="D47" s="14" t="n"/>
      <c r="E47" s="14" t="n"/>
      <c r="F47" s="14" t="n"/>
      <c r="G47" s="14" t="n"/>
      <c r="H47" s="14" t="n"/>
      <c r="I47" s="14" t="n"/>
      <c r="J47" s="14" t="n"/>
      <c r="K47" s="14" t="n"/>
      <c r="L47" s="14" t="n"/>
      <c r="M47" s="14" t="n"/>
      <c r="N47" s="14" t="n"/>
      <c r="O47" s="14" t="n"/>
      <c r="P47" s="14" t="n"/>
    </row>
    <row r="48">
      <c r="A48" s="13">
        <f>A12</f>
        <v/>
      </c>
      <c r="B48" s="14" t="n"/>
      <c r="C48" s="14" t="n"/>
      <c r="D48" s="14" t="n"/>
      <c r="E48" s="14" t="n"/>
      <c r="F48" s="14" t="n"/>
      <c r="G48" s="14" t="n"/>
      <c r="H48" s="14" t="n"/>
      <c r="I48" s="14" t="n"/>
      <c r="J48" s="14" t="n"/>
      <c r="K48" s="14" t="n"/>
      <c r="L48" s="14" t="n"/>
      <c r="M48" s="14" t="n"/>
      <c r="N48" s="14" t="n"/>
      <c r="O48" s="14" t="n"/>
      <c r="P48" s="14" t="n"/>
    </row>
    <row r="49">
      <c r="A49" s="13">
        <f>A13</f>
        <v/>
      </c>
      <c r="B49" s="14" t="n"/>
      <c r="C49" s="14" t="n"/>
      <c r="D49" s="14" t="n"/>
      <c r="E49" s="14" t="n"/>
      <c r="F49" s="14" t="n"/>
      <c r="G49" s="14" t="n"/>
      <c r="H49" s="14" t="n"/>
      <c r="I49" s="14" t="n"/>
      <c r="J49" s="14" t="n"/>
      <c r="K49" s="14" t="n"/>
      <c r="L49" s="14" t="n"/>
      <c r="M49" s="14" t="n"/>
      <c r="N49" s="14" t="n"/>
      <c r="O49" s="14" t="n"/>
      <c r="P49" s="14" t="n"/>
    </row>
    <row r="50">
      <c r="A50" s="13">
        <f>A14</f>
        <v/>
      </c>
      <c r="B50" s="14" t="n"/>
      <c r="C50" s="14" t="n"/>
      <c r="D50" s="14" t="n"/>
      <c r="E50" s="14" t="n"/>
      <c r="F50" s="14" t="n"/>
      <c r="G50" s="14" t="n"/>
      <c r="H50" s="14" t="n"/>
      <c r="I50" s="14" t="n"/>
      <c r="J50" s="14" t="n"/>
      <c r="K50" s="14" t="n"/>
      <c r="L50" s="14" t="n"/>
      <c r="M50" s="14" t="n"/>
      <c r="N50" s="14" t="n"/>
      <c r="O50" s="14" t="n"/>
      <c r="P50" s="14" t="n"/>
    </row>
    <row r="51">
      <c r="A51" s="13">
        <f>A15</f>
        <v/>
      </c>
      <c r="B51" s="14" t="n"/>
      <c r="C51" s="14" t="n"/>
      <c r="D51" s="14" t="n"/>
      <c r="E51" s="14" t="n"/>
      <c r="F51" s="14" t="n"/>
      <c r="G51" s="14" t="n"/>
      <c r="H51" s="14" t="n"/>
      <c r="I51" s="14" t="n"/>
      <c r="J51" s="14" t="n"/>
      <c r="K51" s="14" t="n"/>
      <c r="L51" s="14" t="n"/>
      <c r="M51" s="14" t="n"/>
      <c r="N51" s="14" t="n"/>
      <c r="O51" s="14" t="n"/>
      <c r="P51" s="14" t="n"/>
    </row>
    <row r="53">
      <c r="A53" s="4" t="inlineStr">
        <is>
          <t>Total hints</t>
        </is>
      </c>
      <c r="B53" s="16">
        <f>SUM(B42:B51)</f>
        <v/>
      </c>
      <c r="C53" s="16">
        <f>SUM(C42:C51)</f>
        <v/>
      </c>
      <c r="D53" s="16">
        <f>SUM(D42:D51)</f>
        <v/>
      </c>
      <c r="E53" s="16">
        <f>SUM(E42:E51)</f>
        <v/>
      </c>
      <c r="F53" s="16">
        <f>SUM(F42:F51)</f>
        <v/>
      </c>
      <c r="G53" s="16">
        <f>SUM(G42:G51)</f>
        <v/>
      </c>
      <c r="H53" s="16">
        <f>SUM(H42:H51)</f>
        <v/>
      </c>
      <c r="I53" s="16">
        <f>SUM(I42:I51)</f>
        <v/>
      </c>
      <c r="J53" s="16">
        <f>SUM(J42:J51)</f>
        <v/>
      </c>
      <c r="K53" s="16">
        <f>SUM(K42:K51)</f>
        <v/>
      </c>
      <c r="L53" s="16">
        <f>SUM(L42:L51)</f>
        <v/>
      </c>
      <c r="M53" s="16">
        <f>SUM(M42:M51)</f>
        <v/>
      </c>
      <c r="N53" s="16">
        <f>SUM(N42:N51)</f>
        <v/>
      </c>
      <c r="O53" s="16">
        <f>SUM(O42:O51)</f>
        <v/>
      </c>
      <c r="P53" s="16">
        <f>SUM(P42:P51)</f>
        <v/>
      </c>
    </row>
  </sheetData>
  <dataValidations count="1">
    <dataValidation sqref="B6:P15" showDropDown="0" showInputMessage="0" showErrorMessage="1" allowBlank="1" errorTitle="Result" error="Choose Pass, Partial, Fail or N/A." type="list">
      <formula1>"Pass,Partial,Fail,N/A"</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c r="A1" s="1" t="inlineStr">
        <is>
          <t>Head results</t>
        </is>
      </c>
    </row>
    <row r="2">
      <c r="A2" s="2" t="inlineStr">
        <is>
          <t>Result per task, then minutes, then hints given. Yellow cells are for typing.</t>
        </is>
      </c>
    </row>
    <row r="4">
      <c r="A4" s="4" t="inlineStr">
        <is>
          <t>Key task</t>
        </is>
      </c>
      <c r="B4" s="9" t="inlineStr">
        <is>
          <t>★</t>
        </is>
      </c>
      <c r="C4" s="9" t="inlineStr">
        <is>
          <t>★</t>
        </is>
      </c>
      <c r="D4" s="9" t="n"/>
      <c r="E4" s="9" t="n"/>
      <c r="F4" s="9" t="n"/>
      <c r="G4" s="9" t="inlineStr">
        <is>
          <t>★</t>
        </is>
      </c>
      <c r="H4" s="9" t="inlineStr">
        <is>
          <t>★</t>
        </is>
      </c>
      <c r="I4" s="9" t="n"/>
      <c r="J4" s="9" t="n"/>
      <c r="K4" s="9" t="n"/>
    </row>
    <row r="5">
      <c r="A5" s="6" t="inlineStr">
        <is>
          <t>Tester code</t>
        </is>
      </c>
      <c r="B5" s="6" t="inlineStr">
        <is>
          <t>H1</t>
        </is>
      </c>
      <c r="C5" s="6" t="inlineStr">
        <is>
          <t>H2</t>
        </is>
      </c>
      <c r="D5" s="6" t="inlineStr">
        <is>
          <t>H3</t>
        </is>
      </c>
      <c r="E5" s="6" t="inlineStr">
        <is>
          <t>H4</t>
        </is>
      </c>
      <c r="F5" s="6" t="inlineStr">
        <is>
          <t>H5</t>
        </is>
      </c>
      <c r="G5" s="6" t="inlineStr">
        <is>
          <t>H6</t>
        </is>
      </c>
      <c r="H5" s="6" t="inlineStr">
        <is>
          <t>H7</t>
        </is>
      </c>
      <c r="I5" s="6" t="inlineStr">
        <is>
          <t>H8</t>
        </is>
      </c>
      <c r="J5" s="6" t="inlineStr">
        <is>
          <t>H9</t>
        </is>
      </c>
      <c r="K5" s="6" t="inlineStr">
        <is>
          <t>H10</t>
        </is>
      </c>
    </row>
    <row r="6">
      <c r="A6" s="10" t="inlineStr">
        <is>
          <t>H-01</t>
        </is>
      </c>
      <c r="B6" s="10" t="n"/>
      <c r="C6" s="10" t="n"/>
      <c r="D6" s="10" t="n"/>
      <c r="E6" s="10" t="n"/>
      <c r="F6" s="10" t="n"/>
      <c r="G6" s="10" t="n"/>
      <c r="H6" s="10" t="n"/>
      <c r="I6" s="10" t="n"/>
      <c r="J6" s="10" t="n"/>
      <c r="K6" s="10" t="n"/>
    </row>
    <row r="7">
      <c r="A7" s="10" t="inlineStr">
        <is>
          <t>H-02</t>
        </is>
      </c>
      <c r="B7" s="10" t="n"/>
      <c r="C7" s="10" t="n"/>
      <c r="D7" s="10" t="n"/>
      <c r="E7" s="10" t="n"/>
      <c r="F7" s="10" t="n"/>
      <c r="G7" s="10" t="n"/>
      <c r="H7" s="10" t="n"/>
      <c r="I7" s="10" t="n"/>
      <c r="J7" s="10" t="n"/>
      <c r="K7" s="10" t="n"/>
    </row>
    <row r="8">
      <c r="A8" s="10" t="inlineStr">
        <is>
          <t>H-03</t>
        </is>
      </c>
      <c r="B8" s="10" t="n"/>
      <c r="C8" s="10" t="n"/>
      <c r="D8" s="10" t="n"/>
      <c r="E8" s="10" t="n"/>
      <c r="F8" s="10" t="n"/>
      <c r="G8" s="10" t="n"/>
      <c r="H8" s="10" t="n"/>
      <c r="I8" s="10" t="n"/>
      <c r="J8" s="10" t="n"/>
      <c r="K8" s="10" t="n"/>
    </row>
    <row r="9">
      <c r="A9" s="10" t="inlineStr">
        <is>
          <t>H-04</t>
        </is>
      </c>
      <c r="B9" s="10" t="n"/>
      <c r="C9" s="10" t="n"/>
      <c r="D9" s="10" t="n"/>
      <c r="E9" s="10" t="n"/>
      <c r="F9" s="10" t="n"/>
      <c r="G9" s="10" t="n"/>
      <c r="H9" s="10" t="n"/>
      <c r="I9" s="10" t="n"/>
      <c r="J9" s="10" t="n"/>
      <c r="K9" s="10" t="n"/>
    </row>
    <row r="10">
      <c r="A10" s="10" t="inlineStr">
        <is>
          <t>H-05</t>
        </is>
      </c>
      <c r="B10" s="10" t="n"/>
      <c r="C10" s="10" t="n"/>
      <c r="D10" s="10" t="n"/>
      <c r="E10" s="10" t="n"/>
      <c r="F10" s="10" t="n"/>
      <c r="G10" s="10" t="n"/>
      <c r="H10" s="10" t="n"/>
      <c r="I10" s="10" t="n"/>
      <c r="J10" s="10" t="n"/>
      <c r="K10" s="10" t="n"/>
    </row>
    <row r="11">
      <c r="A11" s="10" t="inlineStr">
        <is>
          <t>H-06</t>
        </is>
      </c>
      <c r="B11" s="10" t="n"/>
      <c r="C11" s="10" t="n"/>
      <c r="D11" s="10" t="n"/>
      <c r="E11" s="10" t="n"/>
      <c r="F11" s="10" t="n"/>
      <c r="G11" s="10" t="n"/>
      <c r="H11" s="10" t="n"/>
      <c r="I11" s="10" t="n"/>
      <c r="J11" s="10" t="n"/>
      <c r="K11" s="10" t="n"/>
    </row>
    <row r="12">
      <c r="A12" s="10" t="inlineStr">
        <is>
          <t>H-07</t>
        </is>
      </c>
      <c r="B12" s="10" t="n"/>
      <c r="C12" s="10" t="n"/>
      <c r="D12" s="10" t="n"/>
      <c r="E12" s="10" t="n"/>
      <c r="F12" s="10" t="n"/>
      <c r="G12" s="10" t="n"/>
      <c r="H12" s="10" t="n"/>
      <c r="I12" s="10" t="n"/>
      <c r="J12" s="10" t="n"/>
      <c r="K12" s="10" t="n"/>
    </row>
    <row r="13">
      <c r="A13" s="10" t="inlineStr">
        <is>
          <t>H-08</t>
        </is>
      </c>
      <c r="B13" s="10" t="n"/>
      <c r="C13" s="10" t="n"/>
      <c r="D13" s="10" t="n"/>
      <c r="E13" s="10" t="n"/>
      <c r="F13" s="10" t="n"/>
      <c r="G13" s="10" t="n"/>
      <c r="H13" s="10" t="n"/>
      <c r="I13" s="10" t="n"/>
      <c r="J13" s="10" t="n"/>
      <c r="K13" s="10" t="n"/>
    </row>
    <row r="14">
      <c r="A14" s="10" t="inlineStr">
        <is>
          <t>H-09</t>
        </is>
      </c>
      <c r="B14" s="10" t="n"/>
      <c r="C14" s="10" t="n"/>
      <c r="D14" s="10" t="n"/>
      <c r="E14" s="10" t="n"/>
      <c r="F14" s="10" t="n"/>
      <c r="G14" s="10" t="n"/>
      <c r="H14" s="10" t="n"/>
      <c r="I14" s="10" t="n"/>
      <c r="J14" s="10" t="n"/>
      <c r="K14" s="10" t="n"/>
    </row>
    <row r="15">
      <c r="A15" s="10" t="inlineStr">
        <is>
          <t>H-10</t>
        </is>
      </c>
      <c r="B15" s="10" t="n"/>
      <c r="C15" s="10" t="n"/>
      <c r="D15" s="10" t="n"/>
      <c r="E15" s="10" t="n"/>
      <c r="F15" s="10" t="n"/>
      <c r="G15" s="10" t="n"/>
      <c r="H15" s="10" t="n"/>
      <c r="I15" s="10" t="n"/>
      <c r="J15" s="10" t="n"/>
      <c r="K15" s="10" t="n"/>
    </row>
    <row r="17">
      <c r="A17" s="4" t="inlineStr">
        <is>
          <t>Pass</t>
        </is>
      </c>
      <c r="B17" s="11">
        <f>COUNTIF(B$6:B$15,"Pass")</f>
        <v/>
      </c>
      <c r="C17" s="11">
        <f>COUNTIF(C$6:C$15,"Pass")</f>
        <v/>
      </c>
      <c r="D17" s="11">
        <f>COUNTIF(D$6:D$15,"Pass")</f>
        <v/>
      </c>
      <c r="E17" s="11">
        <f>COUNTIF(E$6:E$15,"Pass")</f>
        <v/>
      </c>
      <c r="F17" s="11">
        <f>COUNTIF(F$6:F$15,"Pass")</f>
        <v/>
      </c>
      <c r="G17" s="11">
        <f>COUNTIF(G$6:G$15,"Pass")</f>
        <v/>
      </c>
      <c r="H17" s="11">
        <f>COUNTIF(H$6:H$15,"Pass")</f>
        <v/>
      </c>
      <c r="I17" s="11">
        <f>COUNTIF(I$6:I$15,"Pass")</f>
        <v/>
      </c>
      <c r="J17" s="11">
        <f>COUNTIF(J$6:J$15,"Pass")</f>
        <v/>
      </c>
      <c r="K17" s="11">
        <f>COUNTIF(K$6:K$15,"Pass")</f>
        <v/>
      </c>
    </row>
    <row r="18">
      <c r="A18" s="4" t="inlineStr">
        <is>
          <t>Partial</t>
        </is>
      </c>
      <c r="B18" s="11">
        <f>COUNTIF(B$6:B$15,"Partial")</f>
        <v/>
      </c>
      <c r="C18" s="11">
        <f>COUNTIF(C$6:C$15,"Partial")</f>
        <v/>
      </c>
      <c r="D18" s="11">
        <f>COUNTIF(D$6:D$15,"Partial")</f>
        <v/>
      </c>
      <c r="E18" s="11">
        <f>COUNTIF(E$6:E$15,"Partial")</f>
        <v/>
      </c>
      <c r="F18" s="11">
        <f>COUNTIF(F$6:F$15,"Partial")</f>
        <v/>
      </c>
      <c r="G18" s="11">
        <f>COUNTIF(G$6:G$15,"Partial")</f>
        <v/>
      </c>
      <c r="H18" s="11">
        <f>COUNTIF(H$6:H$15,"Partial")</f>
        <v/>
      </c>
      <c r="I18" s="11">
        <f>COUNTIF(I$6:I$15,"Partial")</f>
        <v/>
      </c>
      <c r="J18" s="11">
        <f>COUNTIF(J$6:J$15,"Partial")</f>
        <v/>
      </c>
      <c r="K18" s="11">
        <f>COUNTIF(K$6:K$15,"Partial")</f>
        <v/>
      </c>
    </row>
    <row r="19">
      <c r="A19" s="4" t="inlineStr">
        <is>
          <t>Fail</t>
        </is>
      </c>
      <c r="B19" s="11">
        <f>COUNTIF(B$6:B$15,"Fail")</f>
        <v/>
      </c>
      <c r="C19" s="11">
        <f>COUNTIF(C$6:C$15,"Fail")</f>
        <v/>
      </c>
      <c r="D19" s="11">
        <f>COUNTIF(D$6:D$15,"Fail")</f>
        <v/>
      </c>
      <c r="E19" s="11">
        <f>COUNTIF(E$6:E$15,"Fail")</f>
        <v/>
      </c>
      <c r="F19" s="11">
        <f>COUNTIF(F$6:F$15,"Fail")</f>
        <v/>
      </c>
      <c r="G19" s="11">
        <f>COUNTIF(G$6:G$15,"Fail")</f>
        <v/>
      </c>
      <c r="H19" s="11">
        <f>COUNTIF(H$6:H$15,"Fail")</f>
        <v/>
      </c>
      <c r="I19" s="11">
        <f>COUNTIF(I$6:I$15,"Fail")</f>
        <v/>
      </c>
      <c r="J19" s="11">
        <f>COUNTIF(J$6:J$15,"Fail")</f>
        <v/>
      </c>
      <c r="K19" s="11">
        <f>COUNTIF(K$6:K$15,"Fail")</f>
        <v/>
      </c>
    </row>
    <row r="20">
      <c r="A20" s="4" t="inlineStr">
        <is>
          <t>N/A</t>
        </is>
      </c>
      <c r="B20" s="11">
        <f>COUNTIF(B$6:B$15,"N/A")</f>
        <v/>
      </c>
      <c r="C20" s="11">
        <f>COUNTIF(C$6:C$15,"N/A")</f>
        <v/>
      </c>
      <c r="D20" s="11">
        <f>COUNTIF(D$6:D$15,"N/A")</f>
        <v/>
      </c>
      <c r="E20" s="11">
        <f>COUNTIF(E$6:E$15,"N/A")</f>
        <v/>
      </c>
      <c r="F20" s="11">
        <f>COUNTIF(F$6:F$15,"N/A")</f>
        <v/>
      </c>
      <c r="G20" s="11">
        <f>COUNTIF(G$6:G$15,"N/A")</f>
        <v/>
      </c>
      <c r="H20" s="11">
        <f>COUNTIF(H$6:H$15,"N/A")</f>
        <v/>
      </c>
      <c r="I20" s="11">
        <f>COUNTIF(I$6:I$15,"N/A")</f>
        <v/>
      </c>
      <c r="J20" s="11">
        <f>COUNTIF(J$6:J$15,"N/A")</f>
        <v/>
      </c>
      <c r="K20" s="11">
        <f>COUNTIF(K$6:K$15,"N/A")</f>
        <v/>
      </c>
    </row>
    <row r="21">
      <c r="A21" s="4" t="inlineStr">
        <is>
          <t>Pass rate</t>
        </is>
      </c>
      <c r="B21" s="12">
        <f>IF(SUM(B17:B19)=0,"",B17/SUM(B17:B19))</f>
        <v/>
      </c>
      <c r="C21" s="12">
        <f>IF(SUM(C17:C19)=0,"",C17/SUM(C17:C19))</f>
        <v/>
      </c>
      <c r="D21" s="12">
        <f>IF(SUM(D17:D19)=0,"",D17/SUM(D17:D19))</f>
        <v/>
      </c>
      <c r="E21" s="12">
        <f>IF(SUM(E17:E19)=0,"",E17/SUM(E17:E19))</f>
        <v/>
      </c>
      <c r="F21" s="12">
        <f>IF(SUM(F17:F19)=0,"",F17/SUM(F17:F19))</f>
        <v/>
      </c>
      <c r="G21" s="12">
        <f>IF(SUM(G17:G19)=0,"",G17/SUM(G17:G19))</f>
        <v/>
      </c>
      <c r="H21" s="12">
        <f>IF(SUM(H17:H19)=0,"",H17/SUM(H17:H19))</f>
        <v/>
      </c>
      <c r="I21" s="12">
        <f>IF(SUM(I17:I19)=0,"",I17/SUM(I17:I19))</f>
        <v/>
      </c>
      <c r="J21" s="12">
        <f>IF(SUM(J17:J19)=0,"",J17/SUM(J17:J19))</f>
        <v/>
      </c>
      <c r="K21" s="12">
        <f>IF(SUM(K17:K19)=0,"",K17/SUM(K17:K19))</f>
        <v/>
      </c>
    </row>
    <row r="24">
      <c r="A24" s="3" t="inlineStr">
        <is>
          <t>Time on task (minutes)</t>
        </is>
      </c>
    </row>
    <row r="25">
      <c r="A25" s="6" t="inlineStr">
        <is>
          <t>Tester code</t>
        </is>
      </c>
      <c r="B25" s="6" t="inlineStr">
        <is>
          <t>H1</t>
        </is>
      </c>
      <c r="C25" s="6" t="inlineStr">
        <is>
          <t>H2</t>
        </is>
      </c>
      <c r="D25" s="6" t="inlineStr">
        <is>
          <t>H3</t>
        </is>
      </c>
      <c r="E25" s="6" t="inlineStr">
        <is>
          <t>H4</t>
        </is>
      </c>
      <c r="F25" s="6" t="inlineStr">
        <is>
          <t>H5</t>
        </is>
      </c>
      <c r="G25" s="6" t="inlineStr">
        <is>
          <t>H6</t>
        </is>
      </c>
      <c r="H25" s="6" t="inlineStr">
        <is>
          <t>H7</t>
        </is>
      </c>
      <c r="I25" s="6" t="inlineStr">
        <is>
          <t>H8</t>
        </is>
      </c>
      <c r="J25" s="6" t="inlineStr">
        <is>
          <t>H9</t>
        </is>
      </c>
      <c r="K25" s="6" t="inlineStr">
        <is>
          <t>H10</t>
        </is>
      </c>
    </row>
    <row r="26">
      <c r="A26" s="13">
        <f>A6</f>
        <v/>
      </c>
      <c r="B26" s="14" t="n"/>
      <c r="C26" s="14" t="n"/>
      <c r="D26" s="14" t="n"/>
      <c r="E26" s="14" t="n"/>
      <c r="F26" s="14" t="n"/>
      <c r="G26" s="14" t="n"/>
      <c r="H26" s="14" t="n"/>
      <c r="I26" s="14" t="n"/>
      <c r="J26" s="14" t="n"/>
      <c r="K26" s="14" t="n"/>
    </row>
    <row r="27">
      <c r="A27" s="13">
        <f>A7</f>
        <v/>
      </c>
      <c r="B27" s="14" t="n"/>
      <c r="C27" s="14" t="n"/>
      <c r="D27" s="14" t="n"/>
      <c r="E27" s="14" t="n"/>
      <c r="F27" s="14" t="n"/>
      <c r="G27" s="14" t="n"/>
      <c r="H27" s="14" t="n"/>
      <c r="I27" s="14" t="n"/>
      <c r="J27" s="14" t="n"/>
      <c r="K27" s="14" t="n"/>
    </row>
    <row r="28">
      <c r="A28" s="13">
        <f>A8</f>
        <v/>
      </c>
      <c r="B28" s="14" t="n"/>
      <c r="C28" s="14" t="n"/>
      <c r="D28" s="14" t="n"/>
      <c r="E28" s="14" t="n"/>
      <c r="F28" s="14" t="n"/>
      <c r="G28" s="14" t="n"/>
      <c r="H28" s="14" t="n"/>
      <c r="I28" s="14" t="n"/>
      <c r="J28" s="14" t="n"/>
      <c r="K28" s="14" t="n"/>
    </row>
    <row r="29">
      <c r="A29" s="13">
        <f>A9</f>
        <v/>
      </c>
      <c r="B29" s="14" t="n"/>
      <c r="C29" s="14" t="n"/>
      <c r="D29" s="14" t="n"/>
      <c r="E29" s="14" t="n"/>
      <c r="F29" s="14" t="n"/>
      <c r="G29" s="14" t="n"/>
      <c r="H29" s="14" t="n"/>
      <c r="I29" s="14" t="n"/>
      <c r="J29" s="14" t="n"/>
      <c r="K29" s="14" t="n"/>
    </row>
    <row r="30">
      <c r="A30" s="13">
        <f>A10</f>
        <v/>
      </c>
      <c r="B30" s="14" t="n"/>
      <c r="C30" s="14" t="n"/>
      <c r="D30" s="14" t="n"/>
      <c r="E30" s="14" t="n"/>
      <c r="F30" s="14" t="n"/>
      <c r="G30" s="14" t="n"/>
      <c r="H30" s="14" t="n"/>
      <c r="I30" s="14" t="n"/>
      <c r="J30" s="14" t="n"/>
      <c r="K30" s="14" t="n"/>
    </row>
    <row r="31">
      <c r="A31" s="13">
        <f>A11</f>
        <v/>
      </c>
      <c r="B31" s="14" t="n"/>
      <c r="C31" s="14" t="n"/>
      <c r="D31" s="14" t="n"/>
      <c r="E31" s="14" t="n"/>
      <c r="F31" s="14" t="n"/>
      <c r="G31" s="14" t="n"/>
      <c r="H31" s="14" t="n"/>
      <c r="I31" s="14" t="n"/>
      <c r="J31" s="14" t="n"/>
      <c r="K31" s="14" t="n"/>
    </row>
    <row r="32">
      <c r="A32" s="13">
        <f>A12</f>
        <v/>
      </c>
      <c r="B32" s="14" t="n"/>
      <c r="C32" s="14" t="n"/>
      <c r="D32" s="14" t="n"/>
      <c r="E32" s="14" t="n"/>
      <c r="F32" s="14" t="n"/>
      <c r="G32" s="14" t="n"/>
      <c r="H32" s="14" t="n"/>
      <c r="I32" s="14" t="n"/>
      <c r="J32" s="14" t="n"/>
      <c r="K32" s="14" t="n"/>
    </row>
    <row r="33">
      <c r="A33" s="13">
        <f>A13</f>
        <v/>
      </c>
      <c r="B33" s="14" t="n"/>
      <c r="C33" s="14" t="n"/>
      <c r="D33" s="14" t="n"/>
      <c r="E33" s="14" t="n"/>
      <c r="F33" s="14" t="n"/>
      <c r="G33" s="14" t="n"/>
      <c r="H33" s="14" t="n"/>
      <c r="I33" s="14" t="n"/>
      <c r="J33" s="14" t="n"/>
      <c r="K33" s="14" t="n"/>
    </row>
    <row r="34">
      <c r="A34" s="13">
        <f>A14</f>
        <v/>
      </c>
      <c r="B34" s="14" t="n"/>
      <c r="C34" s="14" t="n"/>
      <c r="D34" s="14" t="n"/>
      <c r="E34" s="14" t="n"/>
      <c r="F34" s="14" t="n"/>
      <c r="G34" s="14" t="n"/>
      <c r="H34" s="14" t="n"/>
      <c r="I34" s="14" t="n"/>
      <c r="J34" s="14" t="n"/>
      <c r="K34" s="14" t="n"/>
    </row>
    <row r="35">
      <c r="A35" s="13">
        <f>A15</f>
        <v/>
      </c>
      <c r="B35" s="14" t="n"/>
      <c r="C35" s="14" t="n"/>
      <c r="D35" s="14" t="n"/>
      <c r="E35" s="14" t="n"/>
      <c r="F35" s="14" t="n"/>
      <c r="G35" s="14" t="n"/>
      <c r="H35" s="14" t="n"/>
      <c r="I35" s="14" t="n"/>
      <c r="J35" s="14" t="n"/>
      <c r="K35" s="14" t="n"/>
    </row>
    <row r="37">
      <c r="A37" s="4" t="inlineStr">
        <is>
          <t>Average minutes</t>
        </is>
      </c>
      <c r="B37" s="15">
        <f>IFERROR(AVERAGE(B26:B35),"")</f>
        <v/>
      </c>
      <c r="C37" s="15">
        <f>IFERROR(AVERAGE(C26:C35),"")</f>
        <v/>
      </c>
      <c r="D37" s="15">
        <f>IFERROR(AVERAGE(D26:D35),"")</f>
        <v/>
      </c>
      <c r="E37" s="15">
        <f>IFERROR(AVERAGE(E26:E35),"")</f>
        <v/>
      </c>
      <c r="F37" s="15">
        <f>IFERROR(AVERAGE(F26:F35),"")</f>
        <v/>
      </c>
      <c r="G37" s="15">
        <f>IFERROR(AVERAGE(G26:G35),"")</f>
        <v/>
      </c>
      <c r="H37" s="15">
        <f>IFERROR(AVERAGE(H26:H35),"")</f>
        <v/>
      </c>
      <c r="I37" s="15">
        <f>IFERROR(AVERAGE(I26:I35),"")</f>
        <v/>
      </c>
      <c r="J37" s="15">
        <f>IFERROR(AVERAGE(J26:J35),"")</f>
        <v/>
      </c>
      <c r="K37" s="15">
        <f>IFERROR(AVERAGE(K26:K35),"")</f>
        <v/>
      </c>
    </row>
    <row r="40">
      <c r="A40" s="3" t="inlineStr">
        <is>
          <t>Hints given (assists)</t>
        </is>
      </c>
    </row>
    <row r="41">
      <c r="A41" s="6" t="inlineStr">
        <is>
          <t>Tester code</t>
        </is>
      </c>
      <c r="B41" s="6" t="inlineStr">
        <is>
          <t>H1</t>
        </is>
      </c>
      <c r="C41" s="6" t="inlineStr">
        <is>
          <t>H2</t>
        </is>
      </c>
      <c r="D41" s="6" t="inlineStr">
        <is>
          <t>H3</t>
        </is>
      </c>
      <c r="E41" s="6" t="inlineStr">
        <is>
          <t>H4</t>
        </is>
      </c>
      <c r="F41" s="6" t="inlineStr">
        <is>
          <t>H5</t>
        </is>
      </c>
      <c r="G41" s="6" t="inlineStr">
        <is>
          <t>H6</t>
        </is>
      </c>
      <c r="H41" s="6" t="inlineStr">
        <is>
          <t>H7</t>
        </is>
      </c>
      <c r="I41" s="6" t="inlineStr">
        <is>
          <t>H8</t>
        </is>
      </c>
      <c r="J41" s="6" t="inlineStr">
        <is>
          <t>H9</t>
        </is>
      </c>
      <c r="K41" s="6" t="inlineStr">
        <is>
          <t>H10</t>
        </is>
      </c>
    </row>
    <row r="42">
      <c r="A42" s="13">
        <f>A6</f>
        <v/>
      </c>
      <c r="B42" s="14" t="n"/>
      <c r="C42" s="14" t="n"/>
      <c r="D42" s="14" t="n"/>
      <c r="E42" s="14" t="n"/>
      <c r="F42" s="14" t="n"/>
      <c r="G42" s="14" t="n"/>
      <c r="H42" s="14" t="n"/>
      <c r="I42" s="14" t="n"/>
      <c r="J42" s="14" t="n"/>
      <c r="K42" s="14" t="n"/>
    </row>
    <row r="43">
      <c r="A43" s="13">
        <f>A7</f>
        <v/>
      </c>
      <c r="B43" s="14" t="n"/>
      <c r="C43" s="14" t="n"/>
      <c r="D43" s="14" t="n"/>
      <c r="E43" s="14" t="n"/>
      <c r="F43" s="14" t="n"/>
      <c r="G43" s="14" t="n"/>
      <c r="H43" s="14" t="n"/>
      <c r="I43" s="14" t="n"/>
      <c r="J43" s="14" t="n"/>
      <c r="K43" s="14" t="n"/>
    </row>
    <row r="44">
      <c r="A44" s="13">
        <f>A8</f>
        <v/>
      </c>
      <c r="B44" s="14" t="n"/>
      <c r="C44" s="14" t="n"/>
      <c r="D44" s="14" t="n"/>
      <c r="E44" s="14" t="n"/>
      <c r="F44" s="14" t="n"/>
      <c r="G44" s="14" t="n"/>
      <c r="H44" s="14" t="n"/>
      <c r="I44" s="14" t="n"/>
      <c r="J44" s="14" t="n"/>
      <c r="K44" s="14" t="n"/>
    </row>
    <row r="45">
      <c r="A45" s="13">
        <f>A9</f>
        <v/>
      </c>
      <c r="B45" s="14" t="n"/>
      <c r="C45" s="14" t="n"/>
      <c r="D45" s="14" t="n"/>
      <c r="E45" s="14" t="n"/>
      <c r="F45" s="14" t="n"/>
      <c r="G45" s="14" t="n"/>
      <c r="H45" s="14" t="n"/>
      <c r="I45" s="14" t="n"/>
      <c r="J45" s="14" t="n"/>
      <c r="K45" s="14" t="n"/>
    </row>
    <row r="46">
      <c r="A46" s="13">
        <f>A10</f>
        <v/>
      </c>
      <c r="B46" s="14" t="n"/>
      <c r="C46" s="14" t="n"/>
      <c r="D46" s="14" t="n"/>
      <c r="E46" s="14" t="n"/>
      <c r="F46" s="14" t="n"/>
      <c r="G46" s="14" t="n"/>
      <c r="H46" s="14" t="n"/>
      <c r="I46" s="14" t="n"/>
      <c r="J46" s="14" t="n"/>
      <c r="K46" s="14" t="n"/>
    </row>
    <row r="47">
      <c r="A47" s="13">
        <f>A11</f>
        <v/>
      </c>
      <c r="B47" s="14" t="n"/>
      <c r="C47" s="14" t="n"/>
      <c r="D47" s="14" t="n"/>
      <c r="E47" s="14" t="n"/>
      <c r="F47" s="14" t="n"/>
      <c r="G47" s="14" t="n"/>
      <c r="H47" s="14" t="n"/>
      <c r="I47" s="14" t="n"/>
      <c r="J47" s="14" t="n"/>
      <c r="K47" s="14" t="n"/>
    </row>
    <row r="48">
      <c r="A48" s="13">
        <f>A12</f>
        <v/>
      </c>
      <c r="B48" s="14" t="n"/>
      <c r="C48" s="14" t="n"/>
      <c r="D48" s="14" t="n"/>
      <c r="E48" s="14" t="n"/>
      <c r="F48" s="14" t="n"/>
      <c r="G48" s="14" t="n"/>
      <c r="H48" s="14" t="n"/>
      <c r="I48" s="14" t="n"/>
      <c r="J48" s="14" t="n"/>
      <c r="K48" s="14" t="n"/>
    </row>
    <row r="49">
      <c r="A49" s="13">
        <f>A13</f>
        <v/>
      </c>
      <c r="B49" s="14" t="n"/>
      <c r="C49" s="14" t="n"/>
      <c r="D49" s="14" t="n"/>
      <c r="E49" s="14" t="n"/>
      <c r="F49" s="14" t="n"/>
      <c r="G49" s="14" t="n"/>
      <c r="H49" s="14" t="n"/>
      <c r="I49" s="14" t="n"/>
      <c r="J49" s="14" t="n"/>
      <c r="K49" s="14" t="n"/>
    </row>
    <row r="50">
      <c r="A50" s="13">
        <f>A14</f>
        <v/>
      </c>
      <c r="B50" s="14" t="n"/>
      <c r="C50" s="14" t="n"/>
      <c r="D50" s="14" t="n"/>
      <c r="E50" s="14" t="n"/>
      <c r="F50" s="14" t="n"/>
      <c r="G50" s="14" t="n"/>
      <c r="H50" s="14" t="n"/>
      <c r="I50" s="14" t="n"/>
      <c r="J50" s="14" t="n"/>
      <c r="K50" s="14" t="n"/>
    </row>
    <row r="51">
      <c r="A51" s="13">
        <f>A15</f>
        <v/>
      </c>
      <c r="B51" s="14" t="n"/>
      <c r="C51" s="14" t="n"/>
      <c r="D51" s="14" t="n"/>
      <c r="E51" s="14" t="n"/>
      <c r="F51" s="14" t="n"/>
      <c r="G51" s="14" t="n"/>
      <c r="H51" s="14" t="n"/>
      <c r="I51" s="14" t="n"/>
      <c r="J51" s="14" t="n"/>
      <c r="K51" s="14" t="n"/>
    </row>
    <row r="53">
      <c r="A53" s="4" t="inlineStr">
        <is>
          <t>Total hints</t>
        </is>
      </c>
      <c r="B53" s="16">
        <f>SUM(B42:B51)</f>
        <v/>
      </c>
      <c r="C53" s="16">
        <f>SUM(C42:C51)</f>
        <v/>
      </c>
      <c r="D53" s="16">
        <f>SUM(D42:D51)</f>
        <v/>
      </c>
      <c r="E53" s="16">
        <f>SUM(E42:E51)</f>
        <v/>
      </c>
      <c r="F53" s="16">
        <f>SUM(F42:F51)</f>
        <v/>
      </c>
      <c r="G53" s="16">
        <f>SUM(G42:G51)</f>
        <v/>
      </c>
      <c r="H53" s="16">
        <f>SUM(H42:H51)</f>
        <v/>
      </c>
      <c r="I53" s="16">
        <f>SUM(I42:I51)</f>
        <v/>
      </c>
      <c r="J53" s="16">
        <f>SUM(J42:J51)</f>
        <v/>
      </c>
      <c r="K53" s="16">
        <f>SUM(K42:K51)</f>
        <v/>
      </c>
    </row>
  </sheetData>
  <dataValidations count="1">
    <dataValidation sqref="B6:K15" showDropDown="0" showInputMessage="0" showErrorMessage="1" allowBlank="1" errorTitle="Result" error="Choose Pass, Partial, Fail or N/A." type="list">
      <formula1>"Pass,Partial,Fail,N/A"</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L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c r="A1" s="1" t="inlineStr">
        <is>
          <t>Admin results</t>
        </is>
      </c>
    </row>
    <row r="2">
      <c r="A2" s="2" t="inlineStr">
        <is>
          <t>Result per task, then minutes, then hints given. Yellow cells are for typing.</t>
        </is>
      </c>
    </row>
    <row r="4">
      <c r="A4" s="4" t="inlineStr">
        <is>
          <t>Key task</t>
        </is>
      </c>
      <c r="B4" s="9" t="inlineStr">
        <is>
          <t>★</t>
        </is>
      </c>
      <c r="C4" s="9" t="inlineStr">
        <is>
          <t>★</t>
        </is>
      </c>
      <c r="D4" s="9" t="inlineStr">
        <is>
          <t>★</t>
        </is>
      </c>
      <c r="E4" s="9" t="n"/>
      <c r="F4" s="9" t="n"/>
      <c r="G4" s="9" t="inlineStr">
        <is>
          <t>★</t>
        </is>
      </c>
      <c r="H4" s="9" t="n"/>
      <c r="I4" s="9" t="inlineStr">
        <is>
          <t>★</t>
        </is>
      </c>
      <c r="J4" s="9" t="n"/>
      <c r="K4" s="9" t="n"/>
      <c r="L4" s="9" t="n"/>
    </row>
    <row r="5">
      <c r="A5" s="6" t="inlineStr">
        <is>
          <t>Tester code</t>
        </is>
      </c>
      <c r="B5" s="6" t="inlineStr">
        <is>
          <t>A1</t>
        </is>
      </c>
      <c r="C5" s="6" t="inlineStr">
        <is>
          <t>A2</t>
        </is>
      </c>
      <c r="D5" s="6" t="inlineStr">
        <is>
          <t>A3</t>
        </is>
      </c>
      <c r="E5" s="6" t="inlineStr">
        <is>
          <t>A4</t>
        </is>
      </c>
      <c r="F5" s="6" t="inlineStr">
        <is>
          <t>A5</t>
        </is>
      </c>
      <c r="G5" s="6" t="inlineStr">
        <is>
          <t>A6</t>
        </is>
      </c>
      <c r="H5" s="6" t="inlineStr">
        <is>
          <t>A7</t>
        </is>
      </c>
      <c r="I5" s="6" t="inlineStr">
        <is>
          <t>A8</t>
        </is>
      </c>
      <c r="J5" s="6" t="inlineStr">
        <is>
          <t>A9</t>
        </is>
      </c>
      <c r="K5" s="6" t="inlineStr">
        <is>
          <t>A10</t>
        </is>
      </c>
      <c r="L5" s="6" t="inlineStr">
        <is>
          <t>A11</t>
        </is>
      </c>
    </row>
    <row r="6">
      <c r="A6" s="10" t="inlineStr">
        <is>
          <t>A-01</t>
        </is>
      </c>
      <c r="B6" s="10" t="n"/>
      <c r="C6" s="10" t="n"/>
      <c r="D6" s="10" t="n"/>
      <c r="E6" s="10" t="n"/>
      <c r="F6" s="10" t="n"/>
      <c r="G6" s="10" t="n"/>
      <c r="H6" s="10" t="n"/>
      <c r="I6" s="10" t="n"/>
      <c r="J6" s="10" t="n"/>
      <c r="K6" s="10" t="n"/>
      <c r="L6" s="10" t="n"/>
    </row>
    <row r="7">
      <c r="A7" s="10" t="inlineStr">
        <is>
          <t>A-02</t>
        </is>
      </c>
      <c r="B7" s="10" t="n"/>
      <c r="C7" s="10" t="n"/>
      <c r="D7" s="10" t="n"/>
      <c r="E7" s="10" t="n"/>
      <c r="F7" s="10" t="n"/>
      <c r="G7" s="10" t="n"/>
      <c r="H7" s="10" t="n"/>
      <c r="I7" s="10" t="n"/>
      <c r="J7" s="10" t="n"/>
      <c r="K7" s="10" t="n"/>
      <c r="L7" s="10" t="n"/>
    </row>
    <row r="8">
      <c r="A8" s="10" t="inlineStr">
        <is>
          <t>A-03</t>
        </is>
      </c>
      <c r="B8" s="10" t="n"/>
      <c r="C8" s="10" t="n"/>
      <c r="D8" s="10" t="n"/>
      <c r="E8" s="10" t="n"/>
      <c r="F8" s="10" t="n"/>
      <c r="G8" s="10" t="n"/>
      <c r="H8" s="10" t="n"/>
      <c r="I8" s="10" t="n"/>
      <c r="J8" s="10" t="n"/>
      <c r="K8" s="10" t="n"/>
      <c r="L8" s="10" t="n"/>
    </row>
    <row r="9">
      <c r="A9" s="10" t="inlineStr">
        <is>
          <t>A-04</t>
        </is>
      </c>
      <c r="B9" s="10" t="n"/>
      <c r="C9" s="10" t="n"/>
      <c r="D9" s="10" t="n"/>
      <c r="E9" s="10" t="n"/>
      <c r="F9" s="10" t="n"/>
      <c r="G9" s="10" t="n"/>
      <c r="H9" s="10" t="n"/>
      <c r="I9" s="10" t="n"/>
      <c r="J9" s="10" t="n"/>
      <c r="K9" s="10" t="n"/>
      <c r="L9" s="10" t="n"/>
    </row>
    <row r="10">
      <c r="A10" s="10" t="inlineStr">
        <is>
          <t>A-05</t>
        </is>
      </c>
      <c r="B10" s="10" t="n"/>
      <c r="C10" s="10" t="n"/>
      <c r="D10" s="10" t="n"/>
      <c r="E10" s="10" t="n"/>
      <c r="F10" s="10" t="n"/>
      <c r="G10" s="10" t="n"/>
      <c r="H10" s="10" t="n"/>
      <c r="I10" s="10" t="n"/>
      <c r="J10" s="10" t="n"/>
      <c r="K10" s="10" t="n"/>
      <c r="L10" s="10" t="n"/>
    </row>
    <row r="11">
      <c r="A11" s="10" t="inlineStr">
        <is>
          <t>A-06</t>
        </is>
      </c>
      <c r="B11" s="10" t="n"/>
      <c r="C11" s="10" t="n"/>
      <c r="D11" s="10" t="n"/>
      <c r="E11" s="10" t="n"/>
      <c r="F11" s="10" t="n"/>
      <c r="G11" s="10" t="n"/>
      <c r="H11" s="10" t="n"/>
      <c r="I11" s="10" t="n"/>
      <c r="J11" s="10" t="n"/>
      <c r="K11" s="10" t="n"/>
      <c r="L11" s="10" t="n"/>
    </row>
    <row r="12">
      <c r="A12" s="10" t="inlineStr">
        <is>
          <t>A-07</t>
        </is>
      </c>
      <c r="B12" s="10" t="n"/>
      <c r="C12" s="10" t="n"/>
      <c r="D12" s="10" t="n"/>
      <c r="E12" s="10" t="n"/>
      <c r="F12" s="10" t="n"/>
      <c r="G12" s="10" t="n"/>
      <c r="H12" s="10" t="n"/>
      <c r="I12" s="10" t="n"/>
      <c r="J12" s="10" t="n"/>
      <c r="K12" s="10" t="n"/>
      <c r="L12" s="10" t="n"/>
    </row>
    <row r="13">
      <c r="A13" s="10" t="inlineStr">
        <is>
          <t>A-08</t>
        </is>
      </c>
      <c r="B13" s="10" t="n"/>
      <c r="C13" s="10" t="n"/>
      <c r="D13" s="10" t="n"/>
      <c r="E13" s="10" t="n"/>
      <c r="F13" s="10" t="n"/>
      <c r="G13" s="10" t="n"/>
      <c r="H13" s="10" t="n"/>
      <c r="I13" s="10" t="n"/>
      <c r="J13" s="10" t="n"/>
      <c r="K13" s="10" t="n"/>
      <c r="L13" s="10" t="n"/>
    </row>
    <row r="14">
      <c r="A14" s="10" t="inlineStr">
        <is>
          <t>A-09</t>
        </is>
      </c>
      <c r="B14" s="10" t="n"/>
      <c r="C14" s="10" t="n"/>
      <c r="D14" s="10" t="n"/>
      <c r="E14" s="10" t="n"/>
      <c r="F14" s="10" t="n"/>
      <c r="G14" s="10" t="n"/>
      <c r="H14" s="10" t="n"/>
      <c r="I14" s="10" t="n"/>
      <c r="J14" s="10" t="n"/>
      <c r="K14" s="10" t="n"/>
      <c r="L14" s="10" t="n"/>
    </row>
    <row r="15">
      <c r="A15" s="10" t="inlineStr">
        <is>
          <t>A-10</t>
        </is>
      </c>
      <c r="B15" s="10" t="n"/>
      <c r="C15" s="10" t="n"/>
      <c r="D15" s="10" t="n"/>
      <c r="E15" s="10" t="n"/>
      <c r="F15" s="10" t="n"/>
      <c r="G15" s="10" t="n"/>
      <c r="H15" s="10" t="n"/>
      <c r="I15" s="10" t="n"/>
      <c r="J15" s="10" t="n"/>
      <c r="K15" s="10" t="n"/>
      <c r="L15" s="10" t="n"/>
    </row>
    <row r="17">
      <c r="A17" s="4" t="inlineStr">
        <is>
          <t>Pass</t>
        </is>
      </c>
      <c r="B17" s="11">
        <f>COUNTIF(B$6:B$15,"Pass")</f>
        <v/>
      </c>
      <c r="C17" s="11">
        <f>COUNTIF(C$6:C$15,"Pass")</f>
        <v/>
      </c>
      <c r="D17" s="11">
        <f>COUNTIF(D$6:D$15,"Pass")</f>
        <v/>
      </c>
      <c r="E17" s="11">
        <f>COUNTIF(E$6:E$15,"Pass")</f>
        <v/>
      </c>
      <c r="F17" s="11">
        <f>COUNTIF(F$6:F$15,"Pass")</f>
        <v/>
      </c>
      <c r="G17" s="11">
        <f>COUNTIF(G$6:G$15,"Pass")</f>
        <v/>
      </c>
      <c r="H17" s="11">
        <f>COUNTIF(H$6:H$15,"Pass")</f>
        <v/>
      </c>
      <c r="I17" s="11">
        <f>COUNTIF(I$6:I$15,"Pass")</f>
        <v/>
      </c>
      <c r="J17" s="11">
        <f>COUNTIF(J$6:J$15,"Pass")</f>
        <v/>
      </c>
      <c r="K17" s="11">
        <f>COUNTIF(K$6:K$15,"Pass")</f>
        <v/>
      </c>
      <c r="L17" s="11">
        <f>COUNTIF(L$6:L$15,"Pass")</f>
        <v/>
      </c>
    </row>
    <row r="18">
      <c r="A18" s="4" t="inlineStr">
        <is>
          <t>Partial</t>
        </is>
      </c>
      <c r="B18" s="11">
        <f>COUNTIF(B$6:B$15,"Partial")</f>
        <v/>
      </c>
      <c r="C18" s="11">
        <f>COUNTIF(C$6:C$15,"Partial")</f>
        <v/>
      </c>
      <c r="D18" s="11">
        <f>COUNTIF(D$6:D$15,"Partial")</f>
        <v/>
      </c>
      <c r="E18" s="11">
        <f>COUNTIF(E$6:E$15,"Partial")</f>
        <v/>
      </c>
      <c r="F18" s="11">
        <f>COUNTIF(F$6:F$15,"Partial")</f>
        <v/>
      </c>
      <c r="G18" s="11">
        <f>COUNTIF(G$6:G$15,"Partial")</f>
        <v/>
      </c>
      <c r="H18" s="11">
        <f>COUNTIF(H$6:H$15,"Partial")</f>
        <v/>
      </c>
      <c r="I18" s="11">
        <f>COUNTIF(I$6:I$15,"Partial")</f>
        <v/>
      </c>
      <c r="J18" s="11">
        <f>COUNTIF(J$6:J$15,"Partial")</f>
        <v/>
      </c>
      <c r="K18" s="11">
        <f>COUNTIF(K$6:K$15,"Partial")</f>
        <v/>
      </c>
      <c r="L18" s="11">
        <f>COUNTIF(L$6:L$15,"Partial")</f>
        <v/>
      </c>
    </row>
    <row r="19">
      <c r="A19" s="4" t="inlineStr">
        <is>
          <t>Fail</t>
        </is>
      </c>
      <c r="B19" s="11">
        <f>COUNTIF(B$6:B$15,"Fail")</f>
        <v/>
      </c>
      <c r="C19" s="11">
        <f>COUNTIF(C$6:C$15,"Fail")</f>
        <v/>
      </c>
      <c r="D19" s="11">
        <f>COUNTIF(D$6:D$15,"Fail")</f>
        <v/>
      </c>
      <c r="E19" s="11">
        <f>COUNTIF(E$6:E$15,"Fail")</f>
        <v/>
      </c>
      <c r="F19" s="11">
        <f>COUNTIF(F$6:F$15,"Fail")</f>
        <v/>
      </c>
      <c r="G19" s="11">
        <f>COUNTIF(G$6:G$15,"Fail")</f>
        <v/>
      </c>
      <c r="H19" s="11">
        <f>COUNTIF(H$6:H$15,"Fail")</f>
        <v/>
      </c>
      <c r="I19" s="11">
        <f>COUNTIF(I$6:I$15,"Fail")</f>
        <v/>
      </c>
      <c r="J19" s="11">
        <f>COUNTIF(J$6:J$15,"Fail")</f>
        <v/>
      </c>
      <c r="K19" s="11">
        <f>COUNTIF(K$6:K$15,"Fail")</f>
        <v/>
      </c>
      <c r="L19" s="11">
        <f>COUNTIF(L$6:L$15,"Fail")</f>
        <v/>
      </c>
    </row>
    <row r="20">
      <c r="A20" s="4" t="inlineStr">
        <is>
          <t>N/A</t>
        </is>
      </c>
      <c r="B20" s="11">
        <f>COUNTIF(B$6:B$15,"N/A")</f>
        <v/>
      </c>
      <c r="C20" s="11">
        <f>COUNTIF(C$6:C$15,"N/A")</f>
        <v/>
      </c>
      <c r="D20" s="11">
        <f>COUNTIF(D$6:D$15,"N/A")</f>
        <v/>
      </c>
      <c r="E20" s="11">
        <f>COUNTIF(E$6:E$15,"N/A")</f>
        <v/>
      </c>
      <c r="F20" s="11">
        <f>COUNTIF(F$6:F$15,"N/A")</f>
        <v/>
      </c>
      <c r="G20" s="11">
        <f>COUNTIF(G$6:G$15,"N/A")</f>
        <v/>
      </c>
      <c r="H20" s="11">
        <f>COUNTIF(H$6:H$15,"N/A")</f>
        <v/>
      </c>
      <c r="I20" s="11">
        <f>COUNTIF(I$6:I$15,"N/A")</f>
        <v/>
      </c>
      <c r="J20" s="11">
        <f>COUNTIF(J$6:J$15,"N/A")</f>
        <v/>
      </c>
      <c r="K20" s="11">
        <f>COUNTIF(K$6:K$15,"N/A")</f>
        <v/>
      </c>
      <c r="L20" s="11">
        <f>COUNTIF(L$6:L$15,"N/A")</f>
        <v/>
      </c>
    </row>
    <row r="21">
      <c r="A21" s="4" t="inlineStr">
        <is>
          <t>Pass rate</t>
        </is>
      </c>
      <c r="B21" s="12">
        <f>IF(SUM(B17:B19)=0,"",B17/SUM(B17:B19))</f>
        <v/>
      </c>
      <c r="C21" s="12">
        <f>IF(SUM(C17:C19)=0,"",C17/SUM(C17:C19))</f>
        <v/>
      </c>
      <c r="D21" s="12">
        <f>IF(SUM(D17:D19)=0,"",D17/SUM(D17:D19))</f>
        <v/>
      </c>
      <c r="E21" s="12">
        <f>IF(SUM(E17:E19)=0,"",E17/SUM(E17:E19))</f>
        <v/>
      </c>
      <c r="F21" s="12">
        <f>IF(SUM(F17:F19)=0,"",F17/SUM(F17:F19))</f>
        <v/>
      </c>
      <c r="G21" s="12">
        <f>IF(SUM(G17:G19)=0,"",G17/SUM(G17:G19))</f>
        <v/>
      </c>
      <c r="H21" s="12">
        <f>IF(SUM(H17:H19)=0,"",H17/SUM(H17:H19))</f>
        <v/>
      </c>
      <c r="I21" s="12">
        <f>IF(SUM(I17:I19)=0,"",I17/SUM(I17:I19))</f>
        <v/>
      </c>
      <c r="J21" s="12">
        <f>IF(SUM(J17:J19)=0,"",J17/SUM(J17:J19))</f>
        <v/>
      </c>
      <c r="K21" s="12">
        <f>IF(SUM(K17:K19)=0,"",K17/SUM(K17:K19))</f>
        <v/>
      </c>
      <c r="L21" s="12">
        <f>IF(SUM(L17:L19)=0,"",L17/SUM(L17:L19))</f>
        <v/>
      </c>
    </row>
    <row r="24">
      <c r="A24" s="3" t="inlineStr">
        <is>
          <t>Time on task (minutes)</t>
        </is>
      </c>
    </row>
    <row r="25">
      <c r="A25" s="6" t="inlineStr">
        <is>
          <t>Tester code</t>
        </is>
      </c>
      <c r="B25" s="6" t="inlineStr">
        <is>
          <t>A1</t>
        </is>
      </c>
      <c r="C25" s="6" t="inlineStr">
        <is>
          <t>A2</t>
        </is>
      </c>
      <c r="D25" s="6" t="inlineStr">
        <is>
          <t>A3</t>
        </is>
      </c>
      <c r="E25" s="6" t="inlineStr">
        <is>
          <t>A4</t>
        </is>
      </c>
      <c r="F25" s="6" t="inlineStr">
        <is>
          <t>A5</t>
        </is>
      </c>
      <c r="G25" s="6" t="inlineStr">
        <is>
          <t>A6</t>
        </is>
      </c>
      <c r="H25" s="6" t="inlineStr">
        <is>
          <t>A7</t>
        </is>
      </c>
      <c r="I25" s="6" t="inlineStr">
        <is>
          <t>A8</t>
        </is>
      </c>
      <c r="J25" s="6" t="inlineStr">
        <is>
          <t>A9</t>
        </is>
      </c>
      <c r="K25" s="6" t="inlineStr">
        <is>
          <t>A10</t>
        </is>
      </c>
      <c r="L25" s="6" t="inlineStr">
        <is>
          <t>A11</t>
        </is>
      </c>
    </row>
    <row r="26">
      <c r="A26" s="13">
        <f>A6</f>
        <v/>
      </c>
      <c r="B26" s="14" t="n"/>
      <c r="C26" s="14" t="n"/>
      <c r="D26" s="14" t="n"/>
      <c r="E26" s="14" t="n"/>
      <c r="F26" s="14" t="n"/>
      <c r="G26" s="14" t="n"/>
      <c r="H26" s="14" t="n"/>
      <c r="I26" s="14" t="n"/>
      <c r="J26" s="14" t="n"/>
      <c r="K26" s="14" t="n"/>
      <c r="L26" s="14" t="n"/>
    </row>
    <row r="27">
      <c r="A27" s="13">
        <f>A7</f>
        <v/>
      </c>
      <c r="B27" s="14" t="n"/>
      <c r="C27" s="14" t="n"/>
      <c r="D27" s="14" t="n"/>
      <c r="E27" s="14" t="n"/>
      <c r="F27" s="14" t="n"/>
      <c r="G27" s="14" t="n"/>
      <c r="H27" s="14" t="n"/>
      <c r="I27" s="14" t="n"/>
      <c r="J27" s="14" t="n"/>
      <c r="K27" s="14" t="n"/>
      <c r="L27" s="14" t="n"/>
    </row>
    <row r="28">
      <c r="A28" s="13">
        <f>A8</f>
        <v/>
      </c>
      <c r="B28" s="14" t="n"/>
      <c r="C28" s="14" t="n"/>
      <c r="D28" s="14" t="n"/>
      <c r="E28" s="14" t="n"/>
      <c r="F28" s="14" t="n"/>
      <c r="G28" s="14" t="n"/>
      <c r="H28" s="14" t="n"/>
      <c r="I28" s="14" t="n"/>
      <c r="J28" s="14" t="n"/>
      <c r="K28" s="14" t="n"/>
      <c r="L28" s="14" t="n"/>
    </row>
    <row r="29">
      <c r="A29" s="13">
        <f>A9</f>
        <v/>
      </c>
      <c r="B29" s="14" t="n"/>
      <c r="C29" s="14" t="n"/>
      <c r="D29" s="14" t="n"/>
      <c r="E29" s="14" t="n"/>
      <c r="F29" s="14" t="n"/>
      <c r="G29" s="14" t="n"/>
      <c r="H29" s="14" t="n"/>
      <c r="I29" s="14" t="n"/>
      <c r="J29" s="14" t="n"/>
      <c r="K29" s="14" t="n"/>
      <c r="L29" s="14" t="n"/>
    </row>
    <row r="30">
      <c r="A30" s="13">
        <f>A10</f>
        <v/>
      </c>
      <c r="B30" s="14" t="n"/>
      <c r="C30" s="14" t="n"/>
      <c r="D30" s="14" t="n"/>
      <c r="E30" s="14" t="n"/>
      <c r="F30" s="14" t="n"/>
      <c r="G30" s="14" t="n"/>
      <c r="H30" s="14" t="n"/>
      <c r="I30" s="14" t="n"/>
      <c r="J30" s="14" t="n"/>
      <c r="K30" s="14" t="n"/>
      <c r="L30" s="14" t="n"/>
    </row>
    <row r="31">
      <c r="A31" s="13">
        <f>A11</f>
        <v/>
      </c>
      <c r="B31" s="14" t="n"/>
      <c r="C31" s="14" t="n"/>
      <c r="D31" s="14" t="n"/>
      <c r="E31" s="14" t="n"/>
      <c r="F31" s="14" t="n"/>
      <c r="G31" s="14" t="n"/>
      <c r="H31" s="14" t="n"/>
      <c r="I31" s="14" t="n"/>
      <c r="J31" s="14" t="n"/>
      <c r="K31" s="14" t="n"/>
      <c r="L31" s="14" t="n"/>
    </row>
    <row r="32">
      <c r="A32" s="13">
        <f>A12</f>
        <v/>
      </c>
      <c r="B32" s="14" t="n"/>
      <c r="C32" s="14" t="n"/>
      <c r="D32" s="14" t="n"/>
      <c r="E32" s="14" t="n"/>
      <c r="F32" s="14" t="n"/>
      <c r="G32" s="14" t="n"/>
      <c r="H32" s="14" t="n"/>
      <c r="I32" s="14" t="n"/>
      <c r="J32" s="14" t="n"/>
      <c r="K32" s="14" t="n"/>
      <c r="L32" s="14" t="n"/>
    </row>
    <row r="33">
      <c r="A33" s="13">
        <f>A13</f>
        <v/>
      </c>
      <c r="B33" s="14" t="n"/>
      <c r="C33" s="14" t="n"/>
      <c r="D33" s="14" t="n"/>
      <c r="E33" s="14" t="n"/>
      <c r="F33" s="14" t="n"/>
      <c r="G33" s="14" t="n"/>
      <c r="H33" s="14" t="n"/>
      <c r="I33" s="14" t="n"/>
      <c r="J33" s="14" t="n"/>
      <c r="K33" s="14" t="n"/>
      <c r="L33" s="14" t="n"/>
    </row>
    <row r="34">
      <c r="A34" s="13">
        <f>A14</f>
        <v/>
      </c>
      <c r="B34" s="14" t="n"/>
      <c r="C34" s="14" t="n"/>
      <c r="D34" s="14" t="n"/>
      <c r="E34" s="14" t="n"/>
      <c r="F34" s="14" t="n"/>
      <c r="G34" s="14" t="n"/>
      <c r="H34" s="14" t="n"/>
      <c r="I34" s="14" t="n"/>
      <c r="J34" s="14" t="n"/>
      <c r="K34" s="14" t="n"/>
      <c r="L34" s="14" t="n"/>
    </row>
    <row r="35">
      <c r="A35" s="13">
        <f>A15</f>
        <v/>
      </c>
      <c r="B35" s="14" t="n"/>
      <c r="C35" s="14" t="n"/>
      <c r="D35" s="14" t="n"/>
      <c r="E35" s="14" t="n"/>
      <c r="F35" s="14" t="n"/>
      <c r="G35" s="14" t="n"/>
      <c r="H35" s="14" t="n"/>
      <c r="I35" s="14" t="n"/>
      <c r="J35" s="14" t="n"/>
      <c r="K35" s="14" t="n"/>
      <c r="L35" s="14" t="n"/>
    </row>
    <row r="37">
      <c r="A37" s="4" t="inlineStr">
        <is>
          <t>Average minutes</t>
        </is>
      </c>
      <c r="B37" s="15">
        <f>IFERROR(AVERAGE(B26:B35),"")</f>
        <v/>
      </c>
      <c r="C37" s="15">
        <f>IFERROR(AVERAGE(C26:C35),"")</f>
        <v/>
      </c>
      <c r="D37" s="15">
        <f>IFERROR(AVERAGE(D26:D35),"")</f>
        <v/>
      </c>
      <c r="E37" s="15">
        <f>IFERROR(AVERAGE(E26:E35),"")</f>
        <v/>
      </c>
      <c r="F37" s="15">
        <f>IFERROR(AVERAGE(F26:F35),"")</f>
        <v/>
      </c>
      <c r="G37" s="15">
        <f>IFERROR(AVERAGE(G26:G35),"")</f>
        <v/>
      </c>
      <c r="H37" s="15">
        <f>IFERROR(AVERAGE(H26:H35),"")</f>
        <v/>
      </c>
      <c r="I37" s="15">
        <f>IFERROR(AVERAGE(I26:I35),"")</f>
        <v/>
      </c>
      <c r="J37" s="15">
        <f>IFERROR(AVERAGE(J26:J35),"")</f>
        <v/>
      </c>
      <c r="K37" s="15">
        <f>IFERROR(AVERAGE(K26:K35),"")</f>
        <v/>
      </c>
      <c r="L37" s="15">
        <f>IFERROR(AVERAGE(L26:L35),"")</f>
        <v/>
      </c>
    </row>
    <row r="40">
      <c r="A40" s="3" t="inlineStr">
        <is>
          <t>Hints given (assists)</t>
        </is>
      </c>
    </row>
    <row r="41">
      <c r="A41" s="6" t="inlineStr">
        <is>
          <t>Tester code</t>
        </is>
      </c>
      <c r="B41" s="6" t="inlineStr">
        <is>
          <t>A1</t>
        </is>
      </c>
      <c r="C41" s="6" t="inlineStr">
        <is>
          <t>A2</t>
        </is>
      </c>
      <c r="D41" s="6" t="inlineStr">
        <is>
          <t>A3</t>
        </is>
      </c>
      <c r="E41" s="6" t="inlineStr">
        <is>
          <t>A4</t>
        </is>
      </c>
      <c r="F41" s="6" t="inlineStr">
        <is>
          <t>A5</t>
        </is>
      </c>
      <c r="G41" s="6" t="inlineStr">
        <is>
          <t>A6</t>
        </is>
      </c>
      <c r="H41" s="6" t="inlineStr">
        <is>
          <t>A7</t>
        </is>
      </c>
      <c r="I41" s="6" t="inlineStr">
        <is>
          <t>A8</t>
        </is>
      </c>
      <c r="J41" s="6" t="inlineStr">
        <is>
          <t>A9</t>
        </is>
      </c>
      <c r="K41" s="6" t="inlineStr">
        <is>
          <t>A10</t>
        </is>
      </c>
      <c r="L41" s="6" t="inlineStr">
        <is>
          <t>A11</t>
        </is>
      </c>
    </row>
    <row r="42">
      <c r="A42" s="13">
        <f>A6</f>
        <v/>
      </c>
      <c r="B42" s="14" t="n"/>
      <c r="C42" s="14" t="n"/>
      <c r="D42" s="14" t="n"/>
      <c r="E42" s="14" t="n"/>
      <c r="F42" s="14" t="n"/>
      <c r="G42" s="14" t="n"/>
      <c r="H42" s="14" t="n"/>
      <c r="I42" s="14" t="n"/>
      <c r="J42" s="14" t="n"/>
      <c r="K42" s="14" t="n"/>
      <c r="L42" s="14" t="n"/>
    </row>
    <row r="43">
      <c r="A43" s="13">
        <f>A7</f>
        <v/>
      </c>
      <c r="B43" s="14" t="n"/>
      <c r="C43" s="14" t="n"/>
      <c r="D43" s="14" t="n"/>
      <c r="E43" s="14" t="n"/>
      <c r="F43" s="14" t="n"/>
      <c r="G43" s="14" t="n"/>
      <c r="H43" s="14" t="n"/>
      <c r="I43" s="14" t="n"/>
      <c r="J43" s="14" t="n"/>
      <c r="K43" s="14" t="n"/>
      <c r="L43" s="14" t="n"/>
    </row>
    <row r="44">
      <c r="A44" s="13">
        <f>A8</f>
        <v/>
      </c>
      <c r="B44" s="14" t="n"/>
      <c r="C44" s="14" t="n"/>
      <c r="D44" s="14" t="n"/>
      <c r="E44" s="14" t="n"/>
      <c r="F44" s="14" t="n"/>
      <c r="G44" s="14" t="n"/>
      <c r="H44" s="14" t="n"/>
      <c r="I44" s="14" t="n"/>
      <c r="J44" s="14" t="n"/>
      <c r="K44" s="14" t="n"/>
      <c r="L44" s="14" t="n"/>
    </row>
    <row r="45">
      <c r="A45" s="13">
        <f>A9</f>
        <v/>
      </c>
      <c r="B45" s="14" t="n"/>
      <c r="C45" s="14" t="n"/>
      <c r="D45" s="14" t="n"/>
      <c r="E45" s="14" t="n"/>
      <c r="F45" s="14" t="n"/>
      <c r="G45" s="14" t="n"/>
      <c r="H45" s="14" t="n"/>
      <c r="I45" s="14" t="n"/>
      <c r="J45" s="14" t="n"/>
      <c r="K45" s="14" t="n"/>
      <c r="L45" s="14" t="n"/>
    </row>
    <row r="46">
      <c r="A46" s="13">
        <f>A10</f>
        <v/>
      </c>
      <c r="B46" s="14" t="n"/>
      <c r="C46" s="14" t="n"/>
      <c r="D46" s="14" t="n"/>
      <c r="E46" s="14" t="n"/>
      <c r="F46" s="14" t="n"/>
      <c r="G46" s="14" t="n"/>
      <c r="H46" s="14" t="n"/>
      <c r="I46" s="14" t="n"/>
      <c r="J46" s="14" t="n"/>
      <c r="K46" s="14" t="n"/>
      <c r="L46" s="14" t="n"/>
    </row>
    <row r="47">
      <c r="A47" s="13">
        <f>A11</f>
        <v/>
      </c>
      <c r="B47" s="14" t="n"/>
      <c r="C47" s="14" t="n"/>
      <c r="D47" s="14" t="n"/>
      <c r="E47" s="14" t="n"/>
      <c r="F47" s="14" t="n"/>
      <c r="G47" s="14" t="n"/>
      <c r="H47" s="14" t="n"/>
      <c r="I47" s="14" t="n"/>
      <c r="J47" s="14" t="n"/>
      <c r="K47" s="14" t="n"/>
      <c r="L47" s="14" t="n"/>
    </row>
    <row r="48">
      <c r="A48" s="13">
        <f>A12</f>
        <v/>
      </c>
      <c r="B48" s="14" t="n"/>
      <c r="C48" s="14" t="n"/>
      <c r="D48" s="14" t="n"/>
      <c r="E48" s="14" t="n"/>
      <c r="F48" s="14" t="n"/>
      <c r="G48" s="14" t="n"/>
      <c r="H48" s="14" t="n"/>
      <c r="I48" s="14" t="n"/>
      <c r="J48" s="14" t="n"/>
      <c r="K48" s="14" t="n"/>
      <c r="L48" s="14" t="n"/>
    </row>
    <row r="49">
      <c r="A49" s="13">
        <f>A13</f>
        <v/>
      </c>
      <c r="B49" s="14" t="n"/>
      <c r="C49" s="14" t="n"/>
      <c r="D49" s="14" t="n"/>
      <c r="E49" s="14" t="n"/>
      <c r="F49" s="14" t="n"/>
      <c r="G49" s="14" t="n"/>
      <c r="H49" s="14" t="n"/>
      <c r="I49" s="14" t="n"/>
      <c r="J49" s="14" t="n"/>
      <c r="K49" s="14" t="n"/>
      <c r="L49" s="14" t="n"/>
    </row>
    <row r="50">
      <c r="A50" s="13">
        <f>A14</f>
        <v/>
      </c>
      <c r="B50" s="14" t="n"/>
      <c r="C50" s="14" t="n"/>
      <c r="D50" s="14" t="n"/>
      <c r="E50" s="14" t="n"/>
      <c r="F50" s="14" t="n"/>
      <c r="G50" s="14" t="n"/>
      <c r="H50" s="14" t="n"/>
      <c r="I50" s="14" t="n"/>
      <c r="J50" s="14" t="n"/>
      <c r="K50" s="14" t="n"/>
      <c r="L50" s="14" t="n"/>
    </row>
    <row r="51">
      <c r="A51" s="13">
        <f>A15</f>
        <v/>
      </c>
      <c r="B51" s="14" t="n"/>
      <c r="C51" s="14" t="n"/>
      <c r="D51" s="14" t="n"/>
      <c r="E51" s="14" t="n"/>
      <c r="F51" s="14" t="n"/>
      <c r="G51" s="14" t="n"/>
      <c r="H51" s="14" t="n"/>
      <c r="I51" s="14" t="n"/>
      <c r="J51" s="14" t="n"/>
      <c r="K51" s="14" t="n"/>
      <c r="L51" s="14" t="n"/>
    </row>
    <row r="53">
      <c r="A53" s="4" t="inlineStr">
        <is>
          <t>Total hints</t>
        </is>
      </c>
      <c r="B53" s="16">
        <f>SUM(B42:B51)</f>
        <v/>
      </c>
      <c r="C53" s="16">
        <f>SUM(C42:C51)</f>
        <v/>
      </c>
      <c r="D53" s="16">
        <f>SUM(D42:D51)</f>
        <v/>
      </c>
      <c r="E53" s="16">
        <f>SUM(E42:E51)</f>
        <v/>
      </c>
      <c r="F53" s="16">
        <f>SUM(F42:F51)</f>
        <v/>
      </c>
      <c r="G53" s="16">
        <f>SUM(G42:G51)</f>
        <v/>
      </c>
      <c r="H53" s="16">
        <f>SUM(H42:H51)</f>
        <v/>
      </c>
      <c r="I53" s="16">
        <f>SUM(I42:I51)</f>
        <v/>
      </c>
      <c r="J53" s="16">
        <f>SUM(J42:J51)</f>
        <v/>
      </c>
      <c r="K53" s="16">
        <f>SUM(K42:K51)</f>
        <v/>
      </c>
      <c r="L53" s="16">
        <f>SUM(L42:L51)</f>
        <v/>
      </c>
    </row>
  </sheetData>
  <dataValidations count="1">
    <dataValidation sqref="B6:L15" showDropDown="0" showInputMessage="0" showErrorMessage="1" allowBlank="1" errorTitle="Result" error="Choose Pass, Partial, Fail or N/A." type="list">
      <formula1>"Pass,Partial,Fail,N/A"</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M4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12" customWidth="1" min="13" max="13"/>
  </cols>
  <sheetData>
    <row r="1">
      <c r="A1" s="1" t="inlineStr">
        <is>
          <t>System Usability Scale</t>
        </is>
      </c>
    </row>
    <row r="2">
      <c r="A2" s="2" t="inlineStr">
        <is>
          <t>Type the answers 1 to 5 as ticked in Part B. Odd statements are worded positively, even statements negatively; the score handles that.</t>
        </is>
      </c>
    </row>
    <row r="4">
      <c r="A4" s="6" t="inlineStr">
        <is>
          <t>Tester code</t>
        </is>
      </c>
      <c r="B4" s="6" t="inlineStr">
        <is>
          <t>Role</t>
        </is>
      </c>
      <c r="C4" s="6" t="inlineStr">
        <is>
          <t>Q1</t>
        </is>
      </c>
      <c r="D4" s="6" t="inlineStr">
        <is>
          <t>Q2</t>
        </is>
      </c>
      <c r="E4" s="6" t="inlineStr">
        <is>
          <t>Q3</t>
        </is>
      </c>
      <c r="F4" s="6" t="inlineStr">
        <is>
          <t>Q4</t>
        </is>
      </c>
      <c r="G4" s="6" t="inlineStr">
        <is>
          <t>Q5</t>
        </is>
      </c>
      <c r="H4" s="6" t="inlineStr">
        <is>
          <t>Q6</t>
        </is>
      </c>
      <c r="I4" s="6" t="inlineStr">
        <is>
          <t>Q7</t>
        </is>
      </c>
      <c r="J4" s="6" t="inlineStr">
        <is>
          <t>Q8</t>
        </is>
      </c>
      <c r="K4" s="6" t="inlineStr">
        <is>
          <t>Q9</t>
        </is>
      </c>
      <c r="L4" s="6" t="inlineStr">
        <is>
          <t>Q10</t>
        </is>
      </c>
      <c r="M4" s="6" t="inlineStr">
        <is>
          <t>SUS score</t>
        </is>
      </c>
    </row>
    <row r="5">
      <c r="A5" s="10" t="n"/>
      <c r="B5" s="10" t="n"/>
      <c r="C5" s="14" t="n"/>
      <c r="D5" s="14" t="n"/>
      <c r="E5" s="14" t="n"/>
      <c r="F5" s="14" t="n"/>
      <c r="G5" s="14" t="n"/>
      <c r="H5" s="14" t="n"/>
      <c r="I5" s="14" t="n"/>
      <c r="J5" s="14" t="n"/>
      <c r="K5" s="14" t="n"/>
      <c r="L5" s="14" t="n"/>
      <c r="M5" s="15">
        <f>IF(COUNT(C5:L5)=10,((C5-1)+(5-D5)+(E5-1)+(5-F5)+(G5-1)+(5-H5)+(I5-1)+(5-J5)+(K5-1)+(5-L5))*2.5,"")</f>
        <v/>
      </c>
    </row>
    <row r="6">
      <c r="A6" s="10" t="n"/>
      <c r="B6" s="10" t="n"/>
      <c r="C6" s="14" t="n"/>
      <c r="D6" s="14" t="n"/>
      <c r="E6" s="14" t="n"/>
      <c r="F6" s="14" t="n"/>
      <c r="G6" s="14" t="n"/>
      <c r="H6" s="14" t="n"/>
      <c r="I6" s="14" t="n"/>
      <c r="J6" s="14" t="n"/>
      <c r="K6" s="14" t="n"/>
      <c r="L6" s="14" t="n"/>
      <c r="M6" s="15">
        <f>IF(COUNT(C6:L6)=10,((C6-1)+(5-D6)+(E6-1)+(5-F6)+(G6-1)+(5-H6)+(I6-1)+(5-J6)+(K6-1)+(5-L6))*2.5,"")</f>
        <v/>
      </c>
    </row>
    <row r="7">
      <c r="A7" s="10" t="n"/>
      <c r="B7" s="10" t="n"/>
      <c r="C7" s="14" t="n"/>
      <c r="D7" s="14" t="n"/>
      <c r="E7" s="14" t="n"/>
      <c r="F7" s="14" t="n"/>
      <c r="G7" s="14" t="n"/>
      <c r="H7" s="14" t="n"/>
      <c r="I7" s="14" t="n"/>
      <c r="J7" s="14" t="n"/>
      <c r="K7" s="14" t="n"/>
      <c r="L7" s="14" t="n"/>
      <c r="M7" s="15">
        <f>IF(COUNT(C7:L7)=10,((C7-1)+(5-D7)+(E7-1)+(5-F7)+(G7-1)+(5-H7)+(I7-1)+(5-J7)+(K7-1)+(5-L7))*2.5,"")</f>
        <v/>
      </c>
    </row>
    <row r="8">
      <c r="A8" s="10" t="n"/>
      <c r="B8" s="10" t="n"/>
      <c r="C8" s="14" t="n"/>
      <c r="D8" s="14" t="n"/>
      <c r="E8" s="14" t="n"/>
      <c r="F8" s="14" t="n"/>
      <c r="G8" s="14" t="n"/>
      <c r="H8" s="14" t="n"/>
      <c r="I8" s="14" t="n"/>
      <c r="J8" s="14" t="n"/>
      <c r="K8" s="14" t="n"/>
      <c r="L8" s="14" t="n"/>
      <c r="M8" s="15">
        <f>IF(COUNT(C8:L8)=10,((C8-1)+(5-D8)+(E8-1)+(5-F8)+(G8-1)+(5-H8)+(I8-1)+(5-J8)+(K8-1)+(5-L8))*2.5,"")</f>
        <v/>
      </c>
    </row>
    <row r="9">
      <c r="A9" s="10" t="n"/>
      <c r="B9" s="10" t="n"/>
      <c r="C9" s="14" t="n"/>
      <c r="D9" s="14" t="n"/>
      <c r="E9" s="14" t="n"/>
      <c r="F9" s="14" t="n"/>
      <c r="G9" s="14" t="n"/>
      <c r="H9" s="14" t="n"/>
      <c r="I9" s="14" t="n"/>
      <c r="J9" s="14" t="n"/>
      <c r="K9" s="14" t="n"/>
      <c r="L9" s="14" t="n"/>
      <c r="M9" s="15">
        <f>IF(COUNT(C9:L9)=10,((C9-1)+(5-D9)+(E9-1)+(5-F9)+(G9-1)+(5-H9)+(I9-1)+(5-J9)+(K9-1)+(5-L9))*2.5,"")</f>
        <v/>
      </c>
    </row>
    <row r="10">
      <c r="A10" s="10" t="n"/>
      <c r="B10" s="10" t="n"/>
      <c r="C10" s="14" t="n"/>
      <c r="D10" s="14" t="n"/>
      <c r="E10" s="14" t="n"/>
      <c r="F10" s="14" t="n"/>
      <c r="G10" s="14" t="n"/>
      <c r="H10" s="14" t="n"/>
      <c r="I10" s="14" t="n"/>
      <c r="J10" s="14" t="n"/>
      <c r="K10" s="14" t="n"/>
      <c r="L10" s="14" t="n"/>
      <c r="M10" s="15">
        <f>IF(COUNT(C10:L10)=10,((C10-1)+(5-D10)+(E10-1)+(5-F10)+(G10-1)+(5-H10)+(I10-1)+(5-J10)+(K10-1)+(5-L10))*2.5,"")</f>
        <v/>
      </c>
    </row>
    <row r="11">
      <c r="A11" s="10" t="n"/>
      <c r="B11" s="10" t="n"/>
      <c r="C11" s="14" t="n"/>
      <c r="D11" s="14" t="n"/>
      <c r="E11" s="14" t="n"/>
      <c r="F11" s="14" t="n"/>
      <c r="G11" s="14" t="n"/>
      <c r="H11" s="14" t="n"/>
      <c r="I11" s="14" t="n"/>
      <c r="J11" s="14" t="n"/>
      <c r="K11" s="14" t="n"/>
      <c r="L11" s="14" t="n"/>
      <c r="M11" s="15">
        <f>IF(COUNT(C11:L11)=10,((C11-1)+(5-D11)+(E11-1)+(5-F11)+(G11-1)+(5-H11)+(I11-1)+(5-J11)+(K11-1)+(5-L11))*2.5,"")</f>
        <v/>
      </c>
    </row>
    <row r="12">
      <c r="A12" s="10" t="n"/>
      <c r="B12" s="10" t="n"/>
      <c r="C12" s="14" t="n"/>
      <c r="D12" s="14" t="n"/>
      <c r="E12" s="14" t="n"/>
      <c r="F12" s="14" t="n"/>
      <c r="G12" s="14" t="n"/>
      <c r="H12" s="14" t="n"/>
      <c r="I12" s="14" t="n"/>
      <c r="J12" s="14" t="n"/>
      <c r="K12" s="14" t="n"/>
      <c r="L12" s="14" t="n"/>
      <c r="M12" s="15">
        <f>IF(COUNT(C12:L12)=10,((C12-1)+(5-D12)+(E12-1)+(5-F12)+(G12-1)+(5-H12)+(I12-1)+(5-J12)+(K12-1)+(5-L12))*2.5,"")</f>
        <v/>
      </c>
    </row>
    <row r="13">
      <c r="A13" s="10" t="n"/>
      <c r="B13" s="10" t="n"/>
      <c r="C13" s="14" t="n"/>
      <c r="D13" s="14" t="n"/>
      <c r="E13" s="14" t="n"/>
      <c r="F13" s="14" t="n"/>
      <c r="G13" s="14" t="n"/>
      <c r="H13" s="14" t="n"/>
      <c r="I13" s="14" t="n"/>
      <c r="J13" s="14" t="n"/>
      <c r="K13" s="14" t="n"/>
      <c r="L13" s="14" t="n"/>
      <c r="M13" s="15">
        <f>IF(COUNT(C13:L13)=10,((C13-1)+(5-D13)+(E13-1)+(5-F13)+(G13-1)+(5-H13)+(I13-1)+(5-J13)+(K13-1)+(5-L13))*2.5,"")</f>
        <v/>
      </c>
    </row>
    <row r="14">
      <c r="A14" s="10" t="n"/>
      <c r="B14" s="10" t="n"/>
      <c r="C14" s="14" t="n"/>
      <c r="D14" s="14" t="n"/>
      <c r="E14" s="14" t="n"/>
      <c r="F14" s="14" t="n"/>
      <c r="G14" s="14" t="n"/>
      <c r="H14" s="14" t="n"/>
      <c r="I14" s="14" t="n"/>
      <c r="J14" s="14" t="n"/>
      <c r="K14" s="14" t="n"/>
      <c r="L14" s="14" t="n"/>
      <c r="M14" s="15">
        <f>IF(COUNT(C14:L14)=10,((C14-1)+(5-D14)+(E14-1)+(5-F14)+(G14-1)+(5-H14)+(I14-1)+(5-J14)+(K14-1)+(5-L14))*2.5,"")</f>
        <v/>
      </c>
    </row>
    <row r="15">
      <c r="A15" s="10" t="n"/>
      <c r="B15" s="10" t="n"/>
      <c r="C15" s="14" t="n"/>
      <c r="D15" s="14" t="n"/>
      <c r="E15" s="14" t="n"/>
      <c r="F15" s="14" t="n"/>
      <c r="G15" s="14" t="n"/>
      <c r="H15" s="14" t="n"/>
      <c r="I15" s="14" t="n"/>
      <c r="J15" s="14" t="n"/>
      <c r="K15" s="14" t="n"/>
      <c r="L15" s="14" t="n"/>
      <c r="M15" s="15">
        <f>IF(COUNT(C15:L15)=10,((C15-1)+(5-D15)+(E15-1)+(5-F15)+(G15-1)+(5-H15)+(I15-1)+(5-J15)+(K15-1)+(5-L15))*2.5,"")</f>
        <v/>
      </c>
    </row>
    <row r="16">
      <c r="A16" s="10" t="n"/>
      <c r="B16" s="10" t="n"/>
      <c r="C16" s="14" t="n"/>
      <c r="D16" s="14" t="n"/>
      <c r="E16" s="14" t="n"/>
      <c r="F16" s="14" t="n"/>
      <c r="G16" s="14" t="n"/>
      <c r="H16" s="14" t="n"/>
      <c r="I16" s="14" t="n"/>
      <c r="J16" s="14" t="n"/>
      <c r="K16" s="14" t="n"/>
      <c r="L16" s="14" t="n"/>
      <c r="M16" s="15">
        <f>IF(COUNT(C16:L16)=10,((C16-1)+(5-D16)+(E16-1)+(5-F16)+(G16-1)+(5-H16)+(I16-1)+(5-J16)+(K16-1)+(5-L16))*2.5,"")</f>
        <v/>
      </c>
    </row>
    <row r="17">
      <c r="A17" s="10" t="n"/>
      <c r="B17" s="10" t="n"/>
      <c r="C17" s="14" t="n"/>
      <c r="D17" s="14" t="n"/>
      <c r="E17" s="14" t="n"/>
      <c r="F17" s="14" t="n"/>
      <c r="G17" s="14" t="n"/>
      <c r="H17" s="14" t="n"/>
      <c r="I17" s="14" t="n"/>
      <c r="J17" s="14" t="n"/>
      <c r="K17" s="14" t="n"/>
      <c r="L17" s="14" t="n"/>
      <c r="M17" s="15">
        <f>IF(COUNT(C17:L17)=10,((C17-1)+(5-D17)+(E17-1)+(5-F17)+(G17-1)+(5-H17)+(I17-1)+(5-J17)+(K17-1)+(5-L17))*2.5,"")</f>
        <v/>
      </c>
    </row>
    <row r="18">
      <c r="A18" s="10" t="n"/>
      <c r="B18" s="10" t="n"/>
      <c r="C18" s="14" t="n"/>
      <c r="D18" s="14" t="n"/>
      <c r="E18" s="14" t="n"/>
      <c r="F18" s="14" t="n"/>
      <c r="G18" s="14" t="n"/>
      <c r="H18" s="14" t="n"/>
      <c r="I18" s="14" t="n"/>
      <c r="J18" s="14" t="n"/>
      <c r="K18" s="14" t="n"/>
      <c r="L18" s="14" t="n"/>
      <c r="M18" s="15">
        <f>IF(COUNT(C18:L18)=10,((C18-1)+(5-D18)+(E18-1)+(5-F18)+(G18-1)+(5-H18)+(I18-1)+(5-J18)+(K18-1)+(5-L18))*2.5,"")</f>
        <v/>
      </c>
    </row>
    <row r="19">
      <c r="A19" s="10" t="n"/>
      <c r="B19" s="10" t="n"/>
      <c r="C19" s="14" t="n"/>
      <c r="D19" s="14" t="n"/>
      <c r="E19" s="14" t="n"/>
      <c r="F19" s="14" t="n"/>
      <c r="G19" s="14" t="n"/>
      <c r="H19" s="14" t="n"/>
      <c r="I19" s="14" t="n"/>
      <c r="J19" s="14" t="n"/>
      <c r="K19" s="14" t="n"/>
      <c r="L19" s="14" t="n"/>
      <c r="M19" s="15">
        <f>IF(COUNT(C19:L19)=10,((C19-1)+(5-D19)+(E19-1)+(5-F19)+(G19-1)+(5-H19)+(I19-1)+(5-J19)+(K19-1)+(5-L19))*2.5,"")</f>
        <v/>
      </c>
    </row>
    <row r="20">
      <c r="A20" s="10" t="n"/>
      <c r="B20" s="10" t="n"/>
      <c r="C20" s="14" t="n"/>
      <c r="D20" s="14" t="n"/>
      <c r="E20" s="14" t="n"/>
      <c r="F20" s="14" t="n"/>
      <c r="G20" s="14" t="n"/>
      <c r="H20" s="14" t="n"/>
      <c r="I20" s="14" t="n"/>
      <c r="J20" s="14" t="n"/>
      <c r="K20" s="14" t="n"/>
      <c r="L20" s="14" t="n"/>
      <c r="M20" s="15">
        <f>IF(COUNT(C20:L20)=10,((C20-1)+(5-D20)+(E20-1)+(5-F20)+(G20-1)+(5-H20)+(I20-1)+(5-J20)+(K20-1)+(5-L20))*2.5,"")</f>
        <v/>
      </c>
    </row>
    <row r="21">
      <c r="A21" s="10" t="n"/>
      <c r="B21" s="10" t="n"/>
      <c r="C21" s="14" t="n"/>
      <c r="D21" s="14" t="n"/>
      <c r="E21" s="14" t="n"/>
      <c r="F21" s="14" t="n"/>
      <c r="G21" s="14" t="n"/>
      <c r="H21" s="14" t="n"/>
      <c r="I21" s="14" t="n"/>
      <c r="J21" s="14" t="n"/>
      <c r="K21" s="14" t="n"/>
      <c r="L21" s="14" t="n"/>
      <c r="M21" s="15">
        <f>IF(COUNT(C21:L21)=10,((C21-1)+(5-D21)+(E21-1)+(5-F21)+(G21-1)+(5-H21)+(I21-1)+(5-J21)+(K21-1)+(5-L21))*2.5,"")</f>
        <v/>
      </c>
    </row>
    <row r="22">
      <c r="A22" s="10" t="n"/>
      <c r="B22" s="10" t="n"/>
      <c r="C22" s="14" t="n"/>
      <c r="D22" s="14" t="n"/>
      <c r="E22" s="14" t="n"/>
      <c r="F22" s="14" t="n"/>
      <c r="G22" s="14" t="n"/>
      <c r="H22" s="14" t="n"/>
      <c r="I22" s="14" t="n"/>
      <c r="J22" s="14" t="n"/>
      <c r="K22" s="14" t="n"/>
      <c r="L22" s="14" t="n"/>
      <c r="M22" s="15">
        <f>IF(COUNT(C22:L22)=10,((C22-1)+(5-D22)+(E22-1)+(5-F22)+(G22-1)+(5-H22)+(I22-1)+(5-J22)+(K22-1)+(5-L22))*2.5,"")</f>
        <v/>
      </c>
    </row>
    <row r="23">
      <c r="A23" s="10" t="n"/>
      <c r="B23" s="10" t="n"/>
      <c r="C23" s="14" t="n"/>
      <c r="D23" s="14" t="n"/>
      <c r="E23" s="14" t="n"/>
      <c r="F23" s="14" t="n"/>
      <c r="G23" s="14" t="n"/>
      <c r="H23" s="14" t="n"/>
      <c r="I23" s="14" t="n"/>
      <c r="J23" s="14" t="n"/>
      <c r="K23" s="14" t="n"/>
      <c r="L23" s="14" t="n"/>
      <c r="M23" s="15">
        <f>IF(COUNT(C23:L23)=10,((C23-1)+(5-D23)+(E23-1)+(5-F23)+(G23-1)+(5-H23)+(I23-1)+(5-J23)+(K23-1)+(5-L23))*2.5,"")</f>
        <v/>
      </c>
    </row>
    <row r="24">
      <c r="A24" s="10" t="n"/>
      <c r="B24" s="10" t="n"/>
      <c r="C24" s="14" t="n"/>
      <c r="D24" s="14" t="n"/>
      <c r="E24" s="14" t="n"/>
      <c r="F24" s="14" t="n"/>
      <c r="G24" s="14" t="n"/>
      <c r="H24" s="14" t="n"/>
      <c r="I24" s="14" t="n"/>
      <c r="J24" s="14" t="n"/>
      <c r="K24" s="14" t="n"/>
      <c r="L24" s="14" t="n"/>
      <c r="M24" s="15">
        <f>IF(COUNT(C24:L24)=10,((C24-1)+(5-D24)+(E24-1)+(5-F24)+(G24-1)+(5-H24)+(I24-1)+(5-J24)+(K24-1)+(5-L24))*2.5,"")</f>
        <v/>
      </c>
    </row>
    <row r="25">
      <c r="A25" s="10" t="n"/>
      <c r="B25" s="10" t="n"/>
      <c r="C25" s="14" t="n"/>
      <c r="D25" s="14" t="n"/>
      <c r="E25" s="14" t="n"/>
      <c r="F25" s="14" t="n"/>
      <c r="G25" s="14" t="n"/>
      <c r="H25" s="14" t="n"/>
      <c r="I25" s="14" t="n"/>
      <c r="J25" s="14" t="n"/>
      <c r="K25" s="14" t="n"/>
      <c r="L25" s="14" t="n"/>
      <c r="M25" s="15">
        <f>IF(COUNT(C25:L25)=10,((C25-1)+(5-D25)+(E25-1)+(5-F25)+(G25-1)+(5-H25)+(I25-1)+(5-J25)+(K25-1)+(5-L25))*2.5,"")</f>
        <v/>
      </c>
    </row>
    <row r="26">
      <c r="A26" s="10" t="n"/>
      <c r="B26" s="10" t="n"/>
      <c r="C26" s="14" t="n"/>
      <c r="D26" s="14" t="n"/>
      <c r="E26" s="14" t="n"/>
      <c r="F26" s="14" t="n"/>
      <c r="G26" s="14" t="n"/>
      <c r="H26" s="14" t="n"/>
      <c r="I26" s="14" t="n"/>
      <c r="J26" s="14" t="n"/>
      <c r="K26" s="14" t="n"/>
      <c r="L26" s="14" t="n"/>
      <c r="M26" s="15">
        <f>IF(COUNT(C26:L26)=10,((C26-1)+(5-D26)+(E26-1)+(5-F26)+(G26-1)+(5-H26)+(I26-1)+(5-J26)+(K26-1)+(5-L26))*2.5,"")</f>
        <v/>
      </c>
    </row>
    <row r="27">
      <c r="A27" s="10" t="n"/>
      <c r="B27" s="10" t="n"/>
      <c r="C27" s="14" t="n"/>
      <c r="D27" s="14" t="n"/>
      <c r="E27" s="14" t="n"/>
      <c r="F27" s="14" t="n"/>
      <c r="G27" s="14" t="n"/>
      <c r="H27" s="14" t="n"/>
      <c r="I27" s="14" t="n"/>
      <c r="J27" s="14" t="n"/>
      <c r="K27" s="14" t="n"/>
      <c r="L27" s="14" t="n"/>
      <c r="M27" s="15">
        <f>IF(COUNT(C27:L27)=10,((C27-1)+(5-D27)+(E27-1)+(5-F27)+(G27-1)+(5-H27)+(I27-1)+(5-J27)+(K27-1)+(5-L27))*2.5,"")</f>
        <v/>
      </c>
    </row>
    <row r="28">
      <c r="A28" s="10" t="n"/>
      <c r="B28" s="10" t="n"/>
      <c r="C28" s="14" t="n"/>
      <c r="D28" s="14" t="n"/>
      <c r="E28" s="14" t="n"/>
      <c r="F28" s="14" t="n"/>
      <c r="G28" s="14" t="n"/>
      <c r="H28" s="14" t="n"/>
      <c r="I28" s="14" t="n"/>
      <c r="J28" s="14" t="n"/>
      <c r="K28" s="14" t="n"/>
      <c r="L28" s="14" t="n"/>
      <c r="M28" s="15">
        <f>IF(COUNT(C28:L28)=10,((C28-1)+(5-D28)+(E28-1)+(5-F28)+(G28-1)+(5-H28)+(I28-1)+(5-J28)+(K28-1)+(5-L28))*2.5,"")</f>
        <v/>
      </c>
    </row>
    <row r="29">
      <c r="A29" s="10" t="n"/>
      <c r="B29" s="10" t="n"/>
      <c r="C29" s="14" t="n"/>
      <c r="D29" s="14" t="n"/>
      <c r="E29" s="14" t="n"/>
      <c r="F29" s="14" t="n"/>
      <c r="G29" s="14" t="n"/>
      <c r="H29" s="14" t="n"/>
      <c r="I29" s="14" t="n"/>
      <c r="J29" s="14" t="n"/>
      <c r="K29" s="14" t="n"/>
      <c r="L29" s="14" t="n"/>
      <c r="M29" s="15">
        <f>IF(COUNT(C29:L29)=10,((C29-1)+(5-D29)+(E29-1)+(5-F29)+(G29-1)+(5-H29)+(I29-1)+(5-J29)+(K29-1)+(5-L29))*2.5,"")</f>
        <v/>
      </c>
    </row>
    <row r="30">
      <c r="A30" s="10" t="n"/>
      <c r="B30" s="10" t="n"/>
      <c r="C30" s="14" t="n"/>
      <c r="D30" s="14" t="n"/>
      <c r="E30" s="14" t="n"/>
      <c r="F30" s="14" t="n"/>
      <c r="G30" s="14" t="n"/>
      <c r="H30" s="14" t="n"/>
      <c r="I30" s="14" t="n"/>
      <c r="J30" s="14" t="n"/>
      <c r="K30" s="14" t="n"/>
      <c r="L30" s="14" t="n"/>
      <c r="M30" s="15">
        <f>IF(COUNT(C30:L30)=10,((C30-1)+(5-D30)+(E30-1)+(5-F30)+(G30-1)+(5-H30)+(I30-1)+(5-J30)+(K30-1)+(5-L30))*2.5,"")</f>
        <v/>
      </c>
    </row>
    <row r="31">
      <c r="A31" s="10" t="n"/>
      <c r="B31" s="10" t="n"/>
      <c r="C31" s="14" t="n"/>
      <c r="D31" s="14" t="n"/>
      <c r="E31" s="14" t="n"/>
      <c r="F31" s="14" t="n"/>
      <c r="G31" s="14" t="n"/>
      <c r="H31" s="14" t="n"/>
      <c r="I31" s="14" t="n"/>
      <c r="J31" s="14" t="n"/>
      <c r="K31" s="14" t="n"/>
      <c r="L31" s="14" t="n"/>
      <c r="M31" s="15">
        <f>IF(COUNT(C31:L31)=10,((C31-1)+(5-D31)+(E31-1)+(5-F31)+(G31-1)+(5-H31)+(I31-1)+(5-J31)+(K31-1)+(5-L31))*2.5,"")</f>
        <v/>
      </c>
    </row>
    <row r="32">
      <c r="A32" s="10" t="n"/>
      <c r="B32" s="10" t="n"/>
      <c r="C32" s="14" t="n"/>
      <c r="D32" s="14" t="n"/>
      <c r="E32" s="14" t="n"/>
      <c r="F32" s="14" t="n"/>
      <c r="G32" s="14" t="n"/>
      <c r="H32" s="14" t="n"/>
      <c r="I32" s="14" t="n"/>
      <c r="J32" s="14" t="n"/>
      <c r="K32" s="14" t="n"/>
      <c r="L32" s="14" t="n"/>
      <c r="M32" s="15">
        <f>IF(COUNT(C32:L32)=10,((C32-1)+(5-D32)+(E32-1)+(5-F32)+(G32-1)+(5-H32)+(I32-1)+(5-J32)+(K32-1)+(5-L32))*2.5,"")</f>
        <v/>
      </c>
    </row>
    <row r="33">
      <c r="A33" s="10" t="n"/>
      <c r="B33" s="10" t="n"/>
      <c r="C33" s="14" t="n"/>
      <c r="D33" s="14" t="n"/>
      <c r="E33" s="14" t="n"/>
      <c r="F33" s="14" t="n"/>
      <c r="G33" s="14" t="n"/>
      <c r="H33" s="14" t="n"/>
      <c r="I33" s="14" t="n"/>
      <c r="J33" s="14" t="n"/>
      <c r="K33" s="14" t="n"/>
      <c r="L33" s="14" t="n"/>
      <c r="M33" s="15">
        <f>IF(COUNT(C33:L33)=10,((C33-1)+(5-D33)+(E33-1)+(5-F33)+(G33-1)+(5-H33)+(I33-1)+(5-J33)+(K33-1)+(5-L33))*2.5,"")</f>
        <v/>
      </c>
    </row>
    <row r="34">
      <c r="A34" s="10" t="n"/>
      <c r="B34" s="10" t="n"/>
      <c r="C34" s="14" t="n"/>
      <c r="D34" s="14" t="n"/>
      <c r="E34" s="14" t="n"/>
      <c r="F34" s="14" t="n"/>
      <c r="G34" s="14" t="n"/>
      <c r="H34" s="14" t="n"/>
      <c r="I34" s="14" t="n"/>
      <c r="J34" s="14" t="n"/>
      <c r="K34" s="14" t="n"/>
      <c r="L34" s="14" t="n"/>
      <c r="M34" s="15">
        <f>IF(COUNT(C34:L34)=10,((C34-1)+(5-D34)+(E34-1)+(5-F34)+(G34-1)+(5-H34)+(I34-1)+(5-J34)+(K34-1)+(5-L34))*2.5,"")</f>
        <v/>
      </c>
    </row>
    <row r="36">
      <c r="A36" s="3" t="inlineStr">
        <is>
          <t>Average SUS</t>
        </is>
      </c>
    </row>
    <row r="37">
      <c r="A37" s="4" t="inlineStr">
        <is>
          <t>All testers</t>
        </is>
      </c>
      <c r="B37" s="15">
        <f>IFERROR(AVERAGE(M5:M34),"no data yet")</f>
        <v/>
      </c>
      <c r="C37" s="7">
        <f>IF(ISNUMBER(B37),IF(B37&gt;=80,"Excellent",IF(B37&gt;=68,"Good",IF(B37&gt;=51,"Below average","Poor"))),"")</f>
        <v/>
      </c>
    </row>
    <row r="38">
      <c r="A38" s="4" t="inlineStr">
        <is>
          <t>Staff</t>
        </is>
      </c>
      <c r="B38" s="15">
        <f>IFERROR(AVERAGEIFS(M5:M34,B5:B34,"Staff"),"no data yet")</f>
        <v/>
      </c>
      <c r="C38" s="7">
        <f>IF(ISNUMBER(B38),IF(B38&gt;=80,"Excellent",IF(B38&gt;=68,"Good",IF(B38&gt;=51,"Below average","Poor"))),"")</f>
        <v/>
      </c>
    </row>
    <row r="39">
      <c r="A39" s="4" t="inlineStr">
        <is>
          <t>Head</t>
        </is>
      </c>
      <c r="B39" s="15">
        <f>IFERROR(AVERAGEIFS(M5:M34,B5:B34,"Head"),"no data yet")</f>
        <v/>
      </c>
      <c r="C39" s="7">
        <f>IF(ISNUMBER(B39),IF(B39&gt;=80,"Excellent",IF(B39&gt;=68,"Good",IF(B39&gt;=51,"Below average","Poor"))),"")</f>
        <v/>
      </c>
    </row>
    <row r="40">
      <c r="A40" s="4" t="inlineStr">
        <is>
          <t>Admin</t>
        </is>
      </c>
      <c r="B40" s="15">
        <f>IFERROR(AVERAGEIFS(M5:M34,B5:B34,"Admin"),"no data yet")</f>
        <v/>
      </c>
      <c r="C40" s="7">
        <f>IF(ISNUMBER(B40),IF(B40&gt;=80,"Excellent",IF(B40&gt;=68,"Good",IF(B40&gt;=51,"Below average","Poor"))),"")</f>
        <v/>
      </c>
    </row>
    <row r="41">
      <c r="A41" s="4" t="inlineStr">
        <is>
          <t>Testers scored</t>
        </is>
      </c>
      <c r="B41" s="11">
        <f>COUNT(M5:M34)</f>
        <v/>
      </c>
    </row>
  </sheetData>
  <dataValidations count="2">
    <dataValidation sqref="B5 B6 B7 B8 B9 B10 B11 B12 B13 B14 B15 B16 B17 B18 B19 B20 B21 B22 B23 B24 B25 B26 B27 B28 B29 B30 B31 B32 B33 B34" showDropDown="0" showInputMessage="0" showErrorMessage="0" allowBlank="1" type="list">
      <formula1>"Staff,Head,Admin"</formula1>
    </dataValidation>
    <dataValidation sqref="C5:L5 C6:L6 C7:L7 C8:L8 C9:L9 C10:L10 C11:L11 C12:L12 C13:L13 C14:L14 C15:L15 C16:L16 C17:L17 C18:L18 C19:L19 C20:L20 C21:L21 C22:L22 C23:L23 C24:L24 C25:L25 C26:L26 C27:L27 C28:L28 C29:L29 C30:L30 C31:L31 C32:L32 C33:L33 C34:L34" showDropDown="0" showInputMessage="0" showErrorMessage="1" allowBlank="1" errorTitle="Answer" error="Type a whole number from 1 to 5." type="whole" operator="between">
      <formula1>1</formula1>
      <formula2>5</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4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8" customWidth="1" min="3" max="3"/>
    <col width="8" customWidth="1" min="4" max="4"/>
    <col width="8" customWidth="1" min="5" max="5"/>
    <col width="8" customWidth="1" min="6" max="6"/>
    <col width="8" customWidth="1" min="7" max="7"/>
  </cols>
  <sheetData>
    <row r="1">
      <c r="A1" s="1" t="inlineStr">
        <is>
          <t>Usefulness ratings (Part C)</t>
        </is>
      </c>
    </row>
    <row r="2">
      <c r="A2" s="2" t="inlineStr">
        <is>
          <t>Type the five ratings, 1 (strongly disagree) to 5 (strongly agree).</t>
        </is>
      </c>
    </row>
    <row r="4">
      <c r="A4" s="6" t="inlineStr">
        <is>
          <t>Tester code</t>
        </is>
      </c>
      <c r="B4" s="6" t="inlineStr">
        <is>
          <t>Role</t>
        </is>
      </c>
      <c r="C4" s="6" t="inlineStr">
        <is>
          <t>U1</t>
        </is>
      </c>
      <c r="D4" s="6" t="inlineStr">
        <is>
          <t>U2</t>
        </is>
      </c>
      <c r="E4" s="6" t="inlineStr">
        <is>
          <t>U3</t>
        </is>
      </c>
      <c r="F4" s="6" t="inlineStr">
        <is>
          <t>U4</t>
        </is>
      </c>
      <c r="G4" s="6" t="inlineStr">
        <is>
          <t>U5</t>
        </is>
      </c>
    </row>
    <row r="5">
      <c r="A5" s="10" t="n"/>
      <c r="B5" s="10" t="n"/>
      <c r="C5" s="14" t="n"/>
      <c r="D5" s="14" t="n"/>
      <c r="E5" s="14" t="n"/>
      <c r="F5" s="14" t="n"/>
      <c r="G5" s="14" t="n"/>
    </row>
    <row r="6">
      <c r="A6" s="10" t="n"/>
      <c r="B6" s="10" t="n"/>
      <c r="C6" s="14" t="n"/>
      <c r="D6" s="14" t="n"/>
      <c r="E6" s="14" t="n"/>
      <c r="F6" s="14" t="n"/>
      <c r="G6" s="14" t="n"/>
    </row>
    <row r="7">
      <c r="A7" s="10" t="n"/>
      <c r="B7" s="10" t="n"/>
      <c r="C7" s="14" t="n"/>
      <c r="D7" s="14" t="n"/>
      <c r="E7" s="14" t="n"/>
      <c r="F7" s="14" t="n"/>
      <c r="G7" s="14" t="n"/>
    </row>
    <row r="8">
      <c r="A8" s="10" t="n"/>
      <c r="B8" s="10" t="n"/>
      <c r="C8" s="14" t="n"/>
      <c r="D8" s="14" t="n"/>
      <c r="E8" s="14" t="n"/>
      <c r="F8" s="14" t="n"/>
      <c r="G8" s="14" t="n"/>
    </row>
    <row r="9">
      <c r="A9" s="10" t="n"/>
      <c r="B9" s="10" t="n"/>
      <c r="C9" s="14" t="n"/>
      <c r="D9" s="14" t="n"/>
      <c r="E9" s="14" t="n"/>
      <c r="F9" s="14" t="n"/>
      <c r="G9" s="14" t="n"/>
    </row>
    <row r="10">
      <c r="A10" s="10" t="n"/>
      <c r="B10" s="10" t="n"/>
      <c r="C10" s="14" t="n"/>
      <c r="D10" s="14" t="n"/>
      <c r="E10" s="14" t="n"/>
      <c r="F10" s="14" t="n"/>
      <c r="G10" s="14" t="n"/>
    </row>
    <row r="11">
      <c r="A11" s="10" t="n"/>
      <c r="B11" s="10" t="n"/>
      <c r="C11" s="14" t="n"/>
      <c r="D11" s="14" t="n"/>
      <c r="E11" s="14" t="n"/>
      <c r="F11" s="14" t="n"/>
      <c r="G11" s="14" t="n"/>
    </row>
    <row r="12">
      <c r="A12" s="10" t="n"/>
      <c r="B12" s="10" t="n"/>
      <c r="C12" s="14" t="n"/>
      <c r="D12" s="14" t="n"/>
      <c r="E12" s="14" t="n"/>
      <c r="F12" s="14" t="n"/>
      <c r="G12" s="14" t="n"/>
    </row>
    <row r="13">
      <c r="A13" s="10" t="n"/>
      <c r="B13" s="10" t="n"/>
      <c r="C13" s="14" t="n"/>
      <c r="D13" s="14" t="n"/>
      <c r="E13" s="14" t="n"/>
      <c r="F13" s="14" t="n"/>
      <c r="G13" s="14" t="n"/>
    </row>
    <row r="14">
      <c r="A14" s="10" t="n"/>
      <c r="B14" s="10" t="n"/>
      <c r="C14" s="14" t="n"/>
      <c r="D14" s="14" t="n"/>
      <c r="E14" s="14" t="n"/>
      <c r="F14" s="14" t="n"/>
      <c r="G14" s="14" t="n"/>
    </row>
    <row r="15">
      <c r="A15" s="10" t="n"/>
      <c r="B15" s="10" t="n"/>
      <c r="C15" s="14" t="n"/>
      <c r="D15" s="14" t="n"/>
      <c r="E15" s="14" t="n"/>
      <c r="F15" s="14" t="n"/>
      <c r="G15" s="14" t="n"/>
    </row>
    <row r="16">
      <c r="A16" s="10" t="n"/>
      <c r="B16" s="10" t="n"/>
      <c r="C16" s="14" t="n"/>
      <c r="D16" s="14" t="n"/>
      <c r="E16" s="14" t="n"/>
      <c r="F16" s="14" t="n"/>
      <c r="G16" s="14" t="n"/>
    </row>
    <row r="17">
      <c r="A17" s="10" t="n"/>
      <c r="B17" s="10" t="n"/>
      <c r="C17" s="14" t="n"/>
      <c r="D17" s="14" t="n"/>
      <c r="E17" s="14" t="n"/>
      <c r="F17" s="14" t="n"/>
      <c r="G17" s="14" t="n"/>
    </row>
    <row r="18">
      <c r="A18" s="10" t="n"/>
      <c r="B18" s="10" t="n"/>
      <c r="C18" s="14" t="n"/>
      <c r="D18" s="14" t="n"/>
      <c r="E18" s="14" t="n"/>
      <c r="F18" s="14" t="n"/>
      <c r="G18" s="14" t="n"/>
    </row>
    <row r="19">
      <c r="A19" s="10" t="n"/>
      <c r="B19" s="10" t="n"/>
      <c r="C19" s="14" t="n"/>
      <c r="D19" s="14" t="n"/>
      <c r="E19" s="14" t="n"/>
      <c r="F19" s="14" t="n"/>
      <c r="G19" s="14" t="n"/>
    </row>
    <row r="20">
      <c r="A20" s="10" t="n"/>
      <c r="B20" s="10" t="n"/>
      <c r="C20" s="14" t="n"/>
      <c r="D20" s="14" t="n"/>
      <c r="E20" s="14" t="n"/>
      <c r="F20" s="14" t="n"/>
      <c r="G20" s="14" t="n"/>
    </row>
    <row r="21">
      <c r="A21" s="10" t="n"/>
      <c r="B21" s="10" t="n"/>
      <c r="C21" s="14" t="n"/>
      <c r="D21" s="14" t="n"/>
      <c r="E21" s="14" t="n"/>
      <c r="F21" s="14" t="n"/>
      <c r="G21" s="14" t="n"/>
    </row>
    <row r="22">
      <c r="A22" s="10" t="n"/>
      <c r="B22" s="10" t="n"/>
      <c r="C22" s="14" t="n"/>
      <c r="D22" s="14" t="n"/>
      <c r="E22" s="14" t="n"/>
      <c r="F22" s="14" t="n"/>
      <c r="G22" s="14" t="n"/>
    </row>
    <row r="23">
      <c r="A23" s="10" t="n"/>
      <c r="B23" s="10" t="n"/>
      <c r="C23" s="14" t="n"/>
      <c r="D23" s="14" t="n"/>
      <c r="E23" s="14" t="n"/>
      <c r="F23" s="14" t="n"/>
      <c r="G23" s="14" t="n"/>
    </row>
    <row r="24">
      <c r="A24" s="10" t="n"/>
      <c r="B24" s="10" t="n"/>
      <c r="C24" s="14" t="n"/>
      <c r="D24" s="14" t="n"/>
      <c r="E24" s="14" t="n"/>
      <c r="F24" s="14" t="n"/>
      <c r="G24" s="14" t="n"/>
    </row>
    <row r="25">
      <c r="A25" s="10" t="n"/>
      <c r="B25" s="10" t="n"/>
      <c r="C25" s="14" t="n"/>
      <c r="D25" s="14" t="n"/>
      <c r="E25" s="14" t="n"/>
      <c r="F25" s="14" t="n"/>
      <c r="G25" s="14" t="n"/>
    </row>
    <row r="26">
      <c r="A26" s="10" t="n"/>
      <c r="B26" s="10" t="n"/>
      <c r="C26" s="14" t="n"/>
      <c r="D26" s="14" t="n"/>
      <c r="E26" s="14" t="n"/>
      <c r="F26" s="14" t="n"/>
      <c r="G26" s="14" t="n"/>
    </row>
    <row r="27">
      <c r="A27" s="10" t="n"/>
      <c r="B27" s="10" t="n"/>
      <c r="C27" s="14" t="n"/>
      <c r="D27" s="14" t="n"/>
      <c r="E27" s="14" t="n"/>
      <c r="F27" s="14" t="n"/>
      <c r="G27" s="14" t="n"/>
    </row>
    <row r="28">
      <c r="A28" s="10" t="n"/>
      <c r="B28" s="10" t="n"/>
      <c r="C28" s="14" t="n"/>
      <c r="D28" s="14" t="n"/>
      <c r="E28" s="14" t="n"/>
      <c r="F28" s="14" t="n"/>
      <c r="G28" s="14" t="n"/>
    </row>
    <row r="29">
      <c r="A29" s="10" t="n"/>
      <c r="B29" s="10" t="n"/>
      <c r="C29" s="14" t="n"/>
      <c r="D29" s="14" t="n"/>
      <c r="E29" s="14" t="n"/>
      <c r="F29" s="14" t="n"/>
      <c r="G29" s="14" t="n"/>
    </row>
    <row r="30">
      <c r="A30" s="10" t="n"/>
      <c r="B30" s="10" t="n"/>
      <c r="C30" s="14" t="n"/>
      <c r="D30" s="14" t="n"/>
      <c r="E30" s="14" t="n"/>
      <c r="F30" s="14" t="n"/>
      <c r="G30" s="14" t="n"/>
    </row>
    <row r="31">
      <c r="A31" s="10" t="n"/>
      <c r="B31" s="10" t="n"/>
      <c r="C31" s="14" t="n"/>
      <c r="D31" s="14" t="n"/>
      <c r="E31" s="14" t="n"/>
      <c r="F31" s="14" t="n"/>
      <c r="G31" s="14" t="n"/>
    </row>
    <row r="32">
      <c r="A32" s="10" t="n"/>
      <c r="B32" s="10" t="n"/>
      <c r="C32" s="14" t="n"/>
      <c r="D32" s="14" t="n"/>
      <c r="E32" s="14" t="n"/>
      <c r="F32" s="14" t="n"/>
      <c r="G32" s="14" t="n"/>
    </row>
    <row r="33">
      <c r="A33" s="10" t="n"/>
      <c r="B33" s="10" t="n"/>
      <c r="C33" s="14" t="n"/>
      <c r="D33" s="14" t="n"/>
      <c r="E33" s="14" t="n"/>
      <c r="F33" s="14" t="n"/>
      <c r="G33" s="14" t="n"/>
    </row>
    <row r="34">
      <c r="A34" s="10" t="n"/>
      <c r="B34" s="10" t="n"/>
      <c r="C34" s="14" t="n"/>
      <c r="D34" s="14" t="n"/>
      <c r="E34" s="14" t="n"/>
      <c r="F34" s="14" t="n"/>
      <c r="G34" s="14" t="n"/>
    </row>
    <row r="36">
      <c r="A36" s="3" t="inlineStr">
        <is>
          <t>Average rating</t>
        </is>
      </c>
    </row>
    <row r="37">
      <c r="A37" s="4" t="inlineStr">
        <is>
          <t>All testers</t>
        </is>
      </c>
      <c r="C37" s="17">
        <f>IFERROR(AVERAGE(C5:C34),"")</f>
        <v/>
      </c>
      <c r="D37" s="17">
        <f>IFERROR(AVERAGE(D5:D34),"")</f>
        <v/>
      </c>
      <c r="E37" s="17">
        <f>IFERROR(AVERAGE(E5:E34),"")</f>
        <v/>
      </c>
      <c r="F37" s="17">
        <f>IFERROR(AVERAGE(F5:F34),"")</f>
        <v/>
      </c>
      <c r="G37" s="17">
        <f>IFERROR(AVERAGE(G5:G34),"")</f>
        <v/>
      </c>
    </row>
    <row r="38">
      <c r="A38" s="4" t="inlineStr">
        <is>
          <t>Staff</t>
        </is>
      </c>
      <c r="C38" s="17">
        <f>IFERROR(AVERAGEIFS(C5:C34,$B5:$B34,"Staff"),"")</f>
        <v/>
      </c>
      <c r="D38" s="17">
        <f>IFERROR(AVERAGEIFS(D5:D34,$B5:$B34,"Staff"),"")</f>
        <v/>
      </c>
      <c r="E38" s="17">
        <f>IFERROR(AVERAGEIFS(E5:E34,$B5:$B34,"Staff"),"")</f>
        <v/>
      </c>
      <c r="F38" s="17">
        <f>IFERROR(AVERAGEIFS(F5:F34,$B5:$B34,"Staff"),"")</f>
        <v/>
      </c>
      <c r="G38" s="17">
        <f>IFERROR(AVERAGEIFS(G5:G34,$B5:$B34,"Staff"),"")</f>
        <v/>
      </c>
    </row>
    <row r="39">
      <c r="A39" s="4" t="inlineStr">
        <is>
          <t>Head</t>
        </is>
      </c>
      <c r="C39" s="17">
        <f>IFERROR(AVERAGEIFS(C5:C34,$B5:$B34,"Head"),"")</f>
        <v/>
      </c>
      <c r="D39" s="17">
        <f>IFERROR(AVERAGEIFS(D5:D34,$B5:$B34,"Head"),"")</f>
        <v/>
      </c>
      <c r="E39" s="17">
        <f>IFERROR(AVERAGEIFS(E5:E34,$B5:$B34,"Head"),"")</f>
        <v/>
      </c>
      <c r="F39" s="17">
        <f>IFERROR(AVERAGEIFS(F5:F34,$B5:$B34,"Head"),"")</f>
        <v/>
      </c>
      <c r="G39" s="17">
        <f>IFERROR(AVERAGEIFS(G5:G34,$B5:$B34,"Head"),"")</f>
        <v/>
      </c>
    </row>
    <row r="40">
      <c r="A40" s="4" t="inlineStr">
        <is>
          <t>Admin</t>
        </is>
      </c>
      <c r="C40" s="17">
        <f>IFERROR(AVERAGEIFS(C5:C34,$B5:$B34,"Admin"),"")</f>
        <v/>
      </c>
      <c r="D40" s="17">
        <f>IFERROR(AVERAGEIFS(D5:D34,$B5:$B34,"Admin"),"")</f>
        <v/>
      </c>
      <c r="E40" s="17">
        <f>IFERROR(AVERAGEIFS(E5:E34,$B5:$B34,"Admin"),"")</f>
        <v/>
      </c>
      <c r="F40" s="17">
        <f>IFERROR(AVERAGEIFS(F5:F34,$B5:$B34,"Admin"),"")</f>
        <v/>
      </c>
      <c r="G40" s="17">
        <f>IFERROR(AVERAGEIFS(G5:G34,$B5:$B34,"Admin"),"")</f>
        <v/>
      </c>
    </row>
    <row r="42">
      <c r="A42" s="3" t="inlineStr">
        <is>
          <t>Statements</t>
        </is>
      </c>
    </row>
    <row r="43">
      <c r="A43" s="4" t="inlineStr">
        <is>
          <t>U1</t>
        </is>
      </c>
      <c r="B43" s="7" t="inlineStr">
        <is>
          <t>Easier to know where a folder is</t>
        </is>
      </c>
    </row>
    <row r="44">
      <c r="A44" s="4" t="inlineStr">
        <is>
          <t>U2</t>
        </is>
      </c>
      <c r="B44" s="7" t="inlineStr">
        <is>
          <t>Would save time</t>
        </is>
      </c>
    </row>
    <row r="45">
      <c r="A45" s="4" t="inlineStr">
        <is>
          <t>U3</t>
        </is>
      </c>
      <c r="B45" s="7" t="inlineStr">
        <is>
          <t>Alerts and reports show what needs attention</t>
        </is>
      </c>
    </row>
    <row r="46">
      <c r="A46" s="4" t="inlineStr">
        <is>
          <t>U4</t>
        </is>
      </c>
      <c r="B46" s="7" t="inlineStr">
        <is>
          <t>I trust the history records</t>
        </is>
      </c>
    </row>
    <row r="47">
      <c r="A47" s="4" t="inlineStr">
        <is>
          <t>U5</t>
        </is>
      </c>
      <c r="B47" s="7" t="inlineStr">
        <is>
          <t>Would recommend it</t>
        </is>
      </c>
    </row>
  </sheetData>
  <dataValidations count="2">
    <dataValidation sqref="B5 B6 B7 B8 B9 B10 B11 B12 B13 B14 B15 B16 B17 B18 B19 B20 B21 B22 B23 B24 B25 B26 B27 B28 B29 B30 B31 B32 B33 B34" showDropDown="0" showInputMessage="0" showErrorMessage="0" allowBlank="1" type="list">
      <formula1>"Staff,Head,Admin"</formula1>
    </dataValidation>
    <dataValidation sqref="C5:G5 C6:G6 C7:G7 C8:G8 C9:G9 C10:G10 C11:G11 C12:G12 C13:G13 C14:G14 C15:G15 C16:G16 C17:G17 C18:G18 C19:G19 C20:G20 C21:G21 C22:G22 C23:G23 C24:G24 C25:G25 C26:G26 C27:G27 C28:G28 C29:G29 C30:G30 C31:G31 C32:G32 C33:G33 C34:G34" showDropDown="0" showInputMessage="0" showErrorMessage="1" allowBlank="1" errorTitle="Rating" error="Type a whole number from 1 to 5." type="whole" operator="between">
      <formula1>1</formula1>
      <formula2>5</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6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9" customWidth="1" min="3" max="3"/>
    <col width="8" customWidth="1" min="4" max="4"/>
    <col width="24" customWidth="1" min="5" max="5"/>
    <col width="44" customWidth="1" min="6" max="6"/>
    <col width="36" customWidth="1" min="7" max="7"/>
    <col width="13" customWidth="1" min="8" max="8"/>
    <col width="16" customWidth="1" min="9" max="9"/>
    <col width="40" customWidth="1" min="10" max="10"/>
  </cols>
  <sheetData>
    <row r="1">
      <c r="A1" s="1" t="inlineStr">
        <is>
          <t>Problems found</t>
        </is>
      </c>
    </row>
    <row r="2">
      <c r="A2" s="2" t="inlineStr">
        <is>
          <t>One row per problem. Severity: Blocker, Major, Minor or Suggestion. Status starts as Open.</t>
        </is>
      </c>
    </row>
    <row r="4">
      <c r="A4" s="6" t="inlineStr">
        <is>
          <t>#</t>
        </is>
      </c>
      <c r="B4" s="6" t="inlineStr">
        <is>
          <t>Tester code</t>
        </is>
      </c>
      <c r="C4" s="6" t="inlineStr">
        <is>
          <t>Role</t>
        </is>
      </c>
      <c r="D4" s="6" t="inlineStr">
        <is>
          <t>Task</t>
        </is>
      </c>
      <c r="E4" s="6" t="inlineStr">
        <is>
          <t>Where (page or screen)</t>
        </is>
      </c>
      <c r="F4" s="6" t="inlineStr">
        <is>
          <t>What happened</t>
        </is>
      </c>
      <c r="G4" s="6" t="inlineStr">
        <is>
          <t>What was expected</t>
        </is>
      </c>
      <c r="H4" s="6" t="inlineStr">
        <is>
          <t>Severity</t>
        </is>
      </c>
      <c r="I4" s="6" t="inlineStr">
        <is>
          <t>Status</t>
        </is>
      </c>
      <c r="J4" s="6" t="inlineStr">
        <is>
          <t>Fix or decision</t>
        </is>
      </c>
    </row>
    <row r="5">
      <c r="A5" s="11">
        <f>IF(F5="","",ROW()-4)</f>
        <v/>
      </c>
      <c r="B5" s="18" t="n"/>
      <c r="C5" s="18" t="n"/>
      <c r="D5" s="18" t="n"/>
      <c r="E5" s="18" t="n"/>
      <c r="F5" s="18" t="n"/>
      <c r="G5" s="18" t="n"/>
      <c r="H5" s="18" t="n"/>
      <c r="I5" s="18" t="n"/>
      <c r="J5" s="18" t="n"/>
    </row>
    <row r="6">
      <c r="A6" s="11">
        <f>IF(F6="","",ROW()-4)</f>
        <v/>
      </c>
      <c r="B6" s="18" t="n"/>
      <c r="C6" s="18" t="n"/>
      <c r="D6" s="18" t="n"/>
      <c r="E6" s="18" t="n"/>
      <c r="F6" s="18" t="n"/>
      <c r="G6" s="18" t="n"/>
      <c r="H6" s="18" t="n"/>
      <c r="I6" s="18" t="n"/>
      <c r="J6" s="18" t="n"/>
    </row>
    <row r="7">
      <c r="A7" s="11">
        <f>IF(F7="","",ROW()-4)</f>
        <v/>
      </c>
      <c r="B7" s="18" t="n"/>
      <c r="C7" s="18" t="n"/>
      <c r="D7" s="18" t="n"/>
      <c r="E7" s="18" t="n"/>
      <c r="F7" s="18" t="n"/>
      <c r="G7" s="18" t="n"/>
      <c r="H7" s="18" t="n"/>
      <c r="I7" s="18" t="n"/>
      <c r="J7" s="18" t="n"/>
    </row>
    <row r="8">
      <c r="A8" s="11">
        <f>IF(F8="","",ROW()-4)</f>
        <v/>
      </c>
      <c r="B8" s="18" t="n"/>
      <c r="C8" s="18" t="n"/>
      <c r="D8" s="18" t="n"/>
      <c r="E8" s="18" t="n"/>
      <c r="F8" s="18" t="n"/>
      <c r="G8" s="18" t="n"/>
      <c r="H8" s="18" t="n"/>
      <c r="I8" s="18" t="n"/>
      <c r="J8" s="18" t="n"/>
    </row>
    <row r="9">
      <c r="A9" s="11">
        <f>IF(F9="","",ROW()-4)</f>
        <v/>
      </c>
      <c r="B9" s="18" t="n"/>
      <c r="C9" s="18" t="n"/>
      <c r="D9" s="18" t="n"/>
      <c r="E9" s="18" t="n"/>
      <c r="F9" s="18" t="n"/>
      <c r="G9" s="18" t="n"/>
      <c r="H9" s="18" t="n"/>
      <c r="I9" s="18" t="n"/>
      <c r="J9" s="18" t="n"/>
    </row>
    <row r="10">
      <c r="A10" s="11">
        <f>IF(F10="","",ROW()-4)</f>
        <v/>
      </c>
      <c r="B10" s="18" t="n"/>
      <c r="C10" s="18" t="n"/>
      <c r="D10" s="18" t="n"/>
      <c r="E10" s="18" t="n"/>
      <c r="F10" s="18" t="n"/>
      <c r="G10" s="18" t="n"/>
      <c r="H10" s="18" t="n"/>
      <c r="I10" s="18" t="n"/>
      <c r="J10" s="18" t="n"/>
    </row>
    <row r="11">
      <c r="A11" s="11">
        <f>IF(F11="","",ROW()-4)</f>
        <v/>
      </c>
      <c r="B11" s="18" t="n"/>
      <c r="C11" s="18" t="n"/>
      <c r="D11" s="18" t="n"/>
      <c r="E11" s="18" t="n"/>
      <c r="F11" s="18" t="n"/>
      <c r="G11" s="18" t="n"/>
      <c r="H11" s="18" t="n"/>
      <c r="I11" s="18" t="n"/>
      <c r="J11" s="18" t="n"/>
    </row>
    <row r="12">
      <c r="A12" s="11">
        <f>IF(F12="","",ROW()-4)</f>
        <v/>
      </c>
      <c r="B12" s="18" t="n"/>
      <c r="C12" s="18" t="n"/>
      <c r="D12" s="18" t="n"/>
      <c r="E12" s="18" t="n"/>
      <c r="F12" s="18" t="n"/>
      <c r="G12" s="18" t="n"/>
      <c r="H12" s="18" t="n"/>
      <c r="I12" s="18" t="n"/>
      <c r="J12" s="18" t="n"/>
    </row>
    <row r="13">
      <c r="A13" s="11">
        <f>IF(F13="","",ROW()-4)</f>
        <v/>
      </c>
      <c r="B13" s="18" t="n"/>
      <c r="C13" s="18" t="n"/>
      <c r="D13" s="18" t="n"/>
      <c r="E13" s="18" t="n"/>
      <c r="F13" s="18" t="n"/>
      <c r="G13" s="18" t="n"/>
      <c r="H13" s="18" t="n"/>
      <c r="I13" s="18" t="n"/>
      <c r="J13" s="18" t="n"/>
    </row>
    <row r="14">
      <c r="A14" s="11">
        <f>IF(F14="","",ROW()-4)</f>
        <v/>
      </c>
      <c r="B14" s="18" t="n"/>
      <c r="C14" s="18" t="n"/>
      <c r="D14" s="18" t="n"/>
      <c r="E14" s="18" t="n"/>
      <c r="F14" s="18" t="n"/>
      <c r="G14" s="18" t="n"/>
      <c r="H14" s="18" t="n"/>
      <c r="I14" s="18" t="n"/>
      <c r="J14" s="18" t="n"/>
    </row>
    <row r="15">
      <c r="A15" s="11">
        <f>IF(F15="","",ROW()-4)</f>
        <v/>
      </c>
      <c r="B15" s="18" t="n"/>
      <c r="C15" s="18" t="n"/>
      <c r="D15" s="18" t="n"/>
      <c r="E15" s="18" t="n"/>
      <c r="F15" s="18" t="n"/>
      <c r="G15" s="18" t="n"/>
      <c r="H15" s="18" t="n"/>
      <c r="I15" s="18" t="n"/>
      <c r="J15" s="18" t="n"/>
    </row>
    <row r="16">
      <c r="A16" s="11">
        <f>IF(F16="","",ROW()-4)</f>
        <v/>
      </c>
      <c r="B16" s="18" t="n"/>
      <c r="C16" s="18" t="n"/>
      <c r="D16" s="18" t="n"/>
      <c r="E16" s="18" t="n"/>
      <c r="F16" s="18" t="n"/>
      <c r="G16" s="18" t="n"/>
      <c r="H16" s="18" t="n"/>
      <c r="I16" s="18" t="n"/>
      <c r="J16" s="18" t="n"/>
    </row>
    <row r="17">
      <c r="A17" s="11">
        <f>IF(F17="","",ROW()-4)</f>
        <v/>
      </c>
      <c r="B17" s="18" t="n"/>
      <c r="C17" s="18" t="n"/>
      <c r="D17" s="18" t="n"/>
      <c r="E17" s="18" t="n"/>
      <c r="F17" s="18" t="n"/>
      <c r="G17" s="18" t="n"/>
      <c r="H17" s="18" t="n"/>
      <c r="I17" s="18" t="n"/>
      <c r="J17" s="18" t="n"/>
    </row>
    <row r="18">
      <c r="A18" s="11">
        <f>IF(F18="","",ROW()-4)</f>
        <v/>
      </c>
      <c r="B18" s="18" t="n"/>
      <c r="C18" s="18" t="n"/>
      <c r="D18" s="18" t="n"/>
      <c r="E18" s="18" t="n"/>
      <c r="F18" s="18" t="n"/>
      <c r="G18" s="18" t="n"/>
      <c r="H18" s="18" t="n"/>
      <c r="I18" s="18" t="n"/>
      <c r="J18" s="18" t="n"/>
    </row>
    <row r="19">
      <c r="A19" s="11">
        <f>IF(F19="","",ROW()-4)</f>
        <v/>
      </c>
      <c r="B19" s="18" t="n"/>
      <c r="C19" s="18" t="n"/>
      <c r="D19" s="18" t="n"/>
      <c r="E19" s="18" t="n"/>
      <c r="F19" s="18" t="n"/>
      <c r="G19" s="18" t="n"/>
      <c r="H19" s="18" t="n"/>
      <c r="I19" s="18" t="n"/>
      <c r="J19" s="18" t="n"/>
    </row>
    <row r="20">
      <c r="A20" s="11">
        <f>IF(F20="","",ROW()-4)</f>
        <v/>
      </c>
      <c r="B20" s="18" t="n"/>
      <c r="C20" s="18" t="n"/>
      <c r="D20" s="18" t="n"/>
      <c r="E20" s="18" t="n"/>
      <c r="F20" s="18" t="n"/>
      <c r="G20" s="18" t="n"/>
      <c r="H20" s="18" t="n"/>
      <c r="I20" s="18" t="n"/>
      <c r="J20" s="18" t="n"/>
    </row>
    <row r="21">
      <c r="A21" s="11">
        <f>IF(F21="","",ROW()-4)</f>
        <v/>
      </c>
      <c r="B21" s="18" t="n"/>
      <c r="C21" s="18" t="n"/>
      <c r="D21" s="18" t="n"/>
      <c r="E21" s="18" t="n"/>
      <c r="F21" s="18" t="n"/>
      <c r="G21" s="18" t="n"/>
      <c r="H21" s="18" t="n"/>
      <c r="I21" s="18" t="n"/>
      <c r="J21" s="18" t="n"/>
    </row>
    <row r="22">
      <c r="A22" s="11">
        <f>IF(F22="","",ROW()-4)</f>
        <v/>
      </c>
      <c r="B22" s="18" t="n"/>
      <c r="C22" s="18" t="n"/>
      <c r="D22" s="18" t="n"/>
      <c r="E22" s="18" t="n"/>
      <c r="F22" s="18" t="n"/>
      <c r="G22" s="18" t="n"/>
      <c r="H22" s="18" t="n"/>
      <c r="I22" s="18" t="n"/>
      <c r="J22" s="18" t="n"/>
    </row>
    <row r="23">
      <c r="A23" s="11">
        <f>IF(F23="","",ROW()-4)</f>
        <v/>
      </c>
      <c r="B23" s="18" t="n"/>
      <c r="C23" s="18" t="n"/>
      <c r="D23" s="18" t="n"/>
      <c r="E23" s="18" t="n"/>
      <c r="F23" s="18" t="n"/>
      <c r="G23" s="18" t="n"/>
      <c r="H23" s="18" t="n"/>
      <c r="I23" s="18" t="n"/>
      <c r="J23" s="18" t="n"/>
    </row>
    <row r="24">
      <c r="A24" s="11">
        <f>IF(F24="","",ROW()-4)</f>
        <v/>
      </c>
      <c r="B24" s="18" t="n"/>
      <c r="C24" s="18" t="n"/>
      <c r="D24" s="18" t="n"/>
      <c r="E24" s="18" t="n"/>
      <c r="F24" s="18" t="n"/>
      <c r="G24" s="18" t="n"/>
      <c r="H24" s="18" t="n"/>
      <c r="I24" s="18" t="n"/>
      <c r="J24" s="18" t="n"/>
    </row>
    <row r="25">
      <c r="A25" s="11">
        <f>IF(F25="","",ROW()-4)</f>
        <v/>
      </c>
      <c r="B25" s="18" t="n"/>
      <c r="C25" s="18" t="n"/>
      <c r="D25" s="18" t="n"/>
      <c r="E25" s="18" t="n"/>
      <c r="F25" s="18" t="n"/>
      <c r="G25" s="18" t="n"/>
      <c r="H25" s="18" t="n"/>
      <c r="I25" s="18" t="n"/>
      <c r="J25" s="18" t="n"/>
    </row>
    <row r="26">
      <c r="A26" s="11">
        <f>IF(F26="","",ROW()-4)</f>
        <v/>
      </c>
      <c r="B26" s="18" t="n"/>
      <c r="C26" s="18" t="n"/>
      <c r="D26" s="18" t="n"/>
      <c r="E26" s="18" t="n"/>
      <c r="F26" s="18" t="n"/>
      <c r="G26" s="18" t="n"/>
      <c r="H26" s="18" t="n"/>
      <c r="I26" s="18" t="n"/>
      <c r="J26" s="18" t="n"/>
    </row>
    <row r="27">
      <c r="A27" s="11">
        <f>IF(F27="","",ROW()-4)</f>
        <v/>
      </c>
      <c r="B27" s="18" t="n"/>
      <c r="C27" s="18" t="n"/>
      <c r="D27" s="18" t="n"/>
      <c r="E27" s="18" t="n"/>
      <c r="F27" s="18" t="n"/>
      <c r="G27" s="18" t="n"/>
      <c r="H27" s="18" t="n"/>
      <c r="I27" s="18" t="n"/>
      <c r="J27" s="18" t="n"/>
    </row>
    <row r="28">
      <c r="A28" s="11">
        <f>IF(F28="","",ROW()-4)</f>
        <v/>
      </c>
      <c r="B28" s="18" t="n"/>
      <c r="C28" s="18" t="n"/>
      <c r="D28" s="18" t="n"/>
      <c r="E28" s="18" t="n"/>
      <c r="F28" s="18" t="n"/>
      <c r="G28" s="18" t="n"/>
      <c r="H28" s="18" t="n"/>
      <c r="I28" s="18" t="n"/>
      <c r="J28" s="18" t="n"/>
    </row>
    <row r="29">
      <c r="A29" s="11">
        <f>IF(F29="","",ROW()-4)</f>
        <v/>
      </c>
      <c r="B29" s="18" t="n"/>
      <c r="C29" s="18" t="n"/>
      <c r="D29" s="18" t="n"/>
      <c r="E29" s="18" t="n"/>
      <c r="F29" s="18" t="n"/>
      <c r="G29" s="18" t="n"/>
      <c r="H29" s="18" t="n"/>
      <c r="I29" s="18" t="n"/>
      <c r="J29" s="18" t="n"/>
    </row>
    <row r="30">
      <c r="A30" s="11">
        <f>IF(F30="","",ROW()-4)</f>
        <v/>
      </c>
      <c r="B30" s="18" t="n"/>
      <c r="C30" s="18" t="n"/>
      <c r="D30" s="18" t="n"/>
      <c r="E30" s="18" t="n"/>
      <c r="F30" s="18" t="n"/>
      <c r="G30" s="18" t="n"/>
      <c r="H30" s="18" t="n"/>
      <c r="I30" s="18" t="n"/>
      <c r="J30" s="18" t="n"/>
    </row>
    <row r="31">
      <c r="A31" s="11">
        <f>IF(F31="","",ROW()-4)</f>
        <v/>
      </c>
      <c r="B31" s="18" t="n"/>
      <c r="C31" s="18" t="n"/>
      <c r="D31" s="18" t="n"/>
      <c r="E31" s="18" t="n"/>
      <c r="F31" s="18" t="n"/>
      <c r="G31" s="18" t="n"/>
      <c r="H31" s="18" t="n"/>
      <c r="I31" s="18" t="n"/>
      <c r="J31" s="18" t="n"/>
    </row>
    <row r="32">
      <c r="A32" s="11">
        <f>IF(F32="","",ROW()-4)</f>
        <v/>
      </c>
      <c r="B32" s="18" t="n"/>
      <c r="C32" s="18" t="n"/>
      <c r="D32" s="18" t="n"/>
      <c r="E32" s="18" t="n"/>
      <c r="F32" s="18" t="n"/>
      <c r="G32" s="18" t="n"/>
      <c r="H32" s="18" t="n"/>
      <c r="I32" s="18" t="n"/>
      <c r="J32" s="18" t="n"/>
    </row>
    <row r="33">
      <c r="A33" s="11">
        <f>IF(F33="","",ROW()-4)</f>
        <v/>
      </c>
      <c r="B33" s="18" t="n"/>
      <c r="C33" s="18" t="n"/>
      <c r="D33" s="18" t="n"/>
      <c r="E33" s="18" t="n"/>
      <c r="F33" s="18" t="n"/>
      <c r="G33" s="18" t="n"/>
      <c r="H33" s="18" t="n"/>
      <c r="I33" s="18" t="n"/>
      <c r="J33" s="18" t="n"/>
    </row>
    <row r="34">
      <c r="A34" s="11">
        <f>IF(F34="","",ROW()-4)</f>
        <v/>
      </c>
      <c r="B34" s="18" t="n"/>
      <c r="C34" s="18" t="n"/>
      <c r="D34" s="18" t="n"/>
      <c r="E34" s="18" t="n"/>
      <c r="F34" s="18" t="n"/>
      <c r="G34" s="18" t="n"/>
      <c r="H34" s="18" t="n"/>
      <c r="I34" s="18" t="n"/>
      <c r="J34" s="18" t="n"/>
    </row>
    <row r="35">
      <c r="A35" s="11">
        <f>IF(F35="","",ROW()-4)</f>
        <v/>
      </c>
      <c r="B35" s="18" t="n"/>
      <c r="C35" s="18" t="n"/>
      <c r="D35" s="18" t="n"/>
      <c r="E35" s="18" t="n"/>
      <c r="F35" s="18" t="n"/>
      <c r="G35" s="18" t="n"/>
      <c r="H35" s="18" t="n"/>
      <c r="I35" s="18" t="n"/>
      <c r="J35" s="18" t="n"/>
    </row>
    <row r="36">
      <c r="A36" s="11">
        <f>IF(F36="","",ROW()-4)</f>
        <v/>
      </c>
      <c r="B36" s="18" t="n"/>
      <c r="C36" s="18" t="n"/>
      <c r="D36" s="18" t="n"/>
      <c r="E36" s="18" t="n"/>
      <c r="F36" s="18" t="n"/>
      <c r="G36" s="18" t="n"/>
      <c r="H36" s="18" t="n"/>
      <c r="I36" s="18" t="n"/>
      <c r="J36" s="18" t="n"/>
    </row>
    <row r="37">
      <c r="A37" s="11">
        <f>IF(F37="","",ROW()-4)</f>
        <v/>
      </c>
      <c r="B37" s="18" t="n"/>
      <c r="C37" s="18" t="n"/>
      <c r="D37" s="18" t="n"/>
      <c r="E37" s="18" t="n"/>
      <c r="F37" s="18" t="n"/>
      <c r="G37" s="18" t="n"/>
      <c r="H37" s="18" t="n"/>
      <c r="I37" s="18" t="n"/>
      <c r="J37" s="18" t="n"/>
    </row>
    <row r="38">
      <c r="A38" s="11">
        <f>IF(F38="","",ROW()-4)</f>
        <v/>
      </c>
      <c r="B38" s="18" t="n"/>
      <c r="C38" s="18" t="n"/>
      <c r="D38" s="18" t="n"/>
      <c r="E38" s="18" t="n"/>
      <c r="F38" s="18" t="n"/>
      <c r="G38" s="18" t="n"/>
      <c r="H38" s="18" t="n"/>
      <c r="I38" s="18" t="n"/>
      <c r="J38" s="18" t="n"/>
    </row>
    <row r="39">
      <c r="A39" s="11">
        <f>IF(F39="","",ROW()-4)</f>
        <v/>
      </c>
      <c r="B39" s="18" t="n"/>
      <c r="C39" s="18" t="n"/>
      <c r="D39" s="18" t="n"/>
      <c r="E39" s="18" t="n"/>
      <c r="F39" s="18" t="n"/>
      <c r="G39" s="18" t="n"/>
      <c r="H39" s="18" t="n"/>
      <c r="I39" s="18" t="n"/>
      <c r="J39" s="18" t="n"/>
    </row>
    <row r="40">
      <c r="A40" s="11">
        <f>IF(F40="","",ROW()-4)</f>
        <v/>
      </c>
      <c r="B40" s="18" t="n"/>
      <c r="C40" s="18" t="n"/>
      <c r="D40" s="18" t="n"/>
      <c r="E40" s="18" t="n"/>
      <c r="F40" s="18" t="n"/>
      <c r="G40" s="18" t="n"/>
      <c r="H40" s="18" t="n"/>
      <c r="I40" s="18" t="n"/>
      <c r="J40" s="18" t="n"/>
    </row>
    <row r="41">
      <c r="A41" s="11">
        <f>IF(F41="","",ROW()-4)</f>
        <v/>
      </c>
      <c r="B41" s="18" t="n"/>
      <c r="C41" s="18" t="n"/>
      <c r="D41" s="18" t="n"/>
      <c r="E41" s="18" t="n"/>
      <c r="F41" s="18" t="n"/>
      <c r="G41" s="18" t="n"/>
      <c r="H41" s="18" t="n"/>
      <c r="I41" s="18" t="n"/>
      <c r="J41" s="18" t="n"/>
    </row>
    <row r="42">
      <c r="A42" s="11">
        <f>IF(F42="","",ROW()-4)</f>
        <v/>
      </c>
      <c r="B42" s="18" t="n"/>
      <c r="C42" s="18" t="n"/>
      <c r="D42" s="18" t="n"/>
      <c r="E42" s="18" t="n"/>
      <c r="F42" s="18" t="n"/>
      <c r="G42" s="18" t="n"/>
      <c r="H42" s="18" t="n"/>
      <c r="I42" s="18" t="n"/>
      <c r="J42" s="18" t="n"/>
    </row>
    <row r="43">
      <c r="A43" s="11">
        <f>IF(F43="","",ROW()-4)</f>
        <v/>
      </c>
      <c r="B43" s="18" t="n"/>
      <c r="C43" s="18" t="n"/>
      <c r="D43" s="18" t="n"/>
      <c r="E43" s="18" t="n"/>
      <c r="F43" s="18" t="n"/>
      <c r="G43" s="18" t="n"/>
      <c r="H43" s="18" t="n"/>
      <c r="I43" s="18" t="n"/>
      <c r="J43" s="18" t="n"/>
    </row>
    <row r="44">
      <c r="A44" s="11">
        <f>IF(F44="","",ROW()-4)</f>
        <v/>
      </c>
      <c r="B44" s="18" t="n"/>
      <c r="C44" s="18" t="n"/>
      <c r="D44" s="18" t="n"/>
      <c r="E44" s="18" t="n"/>
      <c r="F44" s="18" t="n"/>
      <c r="G44" s="18" t="n"/>
      <c r="H44" s="18" t="n"/>
      <c r="I44" s="18" t="n"/>
      <c r="J44" s="18" t="n"/>
    </row>
    <row r="45">
      <c r="A45" s="11">
        <f>IF(F45="","",ROW()-4)</f>
        <v/>
      </c>
      <c r="B45" s="18" t="n"/>
      <c r="C45" s="18" t="n"/>
      <c r="D45" s="18" t="n"/>
      <c r="E45" s="18" t="n"/>
      <c r="F45" s="18" t="n"/>
      <c r="G45" s="18" t="n"/>
      <c r="H45" s="18" t="n"/>
      <c r="I45" s="18" t="n"/>
      <c r="J45" s="18" t="n"/>
    </row>
    <row r="46">
      <c r="A46" s="11">
        <f>IF(F46="","",ROW()-4)</f>
        <v/>
      </c>
      <c r="B46" s="18" t="n"/>
      <c r="C46" s="18" t="n"/>
      <c r="D46" s="18" t="n"/>
      <c r="E46" s="18" t="n"/>
      <c r="F46" s="18" t="n"/>
      <c r="G46" s="18" t="n"/>
      <c r="H46" s="18" t="n"/>
      <c r="I46" s="18" t="n"/>
      <c r="J46" s="18" t="n"/>
    </row>
    <row r="47">
      <c r="A47" s="11">
        <f>IF(F47="","",ROW()-4)</f>
        <v/>
      </c>
      <c r="B47" s="18" t="n"/>
      <c r="C47" s="18" t="n"/>
      <c r="D47" s="18" t="n"/>
      <c r="E47" s="18" t="n"/>
      <c r="F47" s="18" t="n"/>
      <c r="G47" s="18" t="n"/>
      <c r="H47" s="18" t="n"/>
      <c r="I47" s="18" t="n"/>
      <c r="J47" s="18" t="n"/>
    </row>
    <row r="48">
      <c r="A48" s="11">
        <f>IF(F48="","",ROW()-4)</f>
        <v/>
      </c>
      <c r="B48" s="18" t="n"/>
      <c r="C48" s="18" t="n"/>
      <c r="D48" s="18" t="n"/>
      <c r="E48" s="18" t="n"/>
      <c r="F48" s="18" t="n"/>
      <c r="G48" s="18" t="n"/>
      <c r="H48" s="18" t="n"/>
      <c r="I48" s="18" t="n"/>
      <c r="J48" s="18" t="n"/>
    </row>
    <row r="49">
      <c r="A49" s="11">
        <f>IF(F49="","",ROW()-4)</f>
        <v/>
      </c>
      <c r="B49" s="18" t="n"/>
      <c r="C49" s="18" t="n"/>
      <c r="D49" s="18" t="n"/>
      <c r="E49" s="18" t="n"/>
      <c r="F49" s="18" t="n"/>
      <c r="G49" s="18" t="n"/>
      <c r="H49" s="18" t="n"/>
      <c r="I49" s="18" t="n"/>
      <c r="J49" s="18" t="n"/>
    </row>
    <row r="50">
      <c r="A50" s="11">
        <f>IF(F50="","",ROW()-4)</f>
        <v/>
      </c>
      <c r="B50" s="18" t="n"/>
      <c r="C50" s="18" t="n"/>
      <c r="D50" s="18" t="n"/>
      <c r="E50" s="18" t="n"/>
      <c r="F50" s="18" t="n"/>
      <c r="G50" s="18" t="n"/>
      <c r="H50" s="18" t="n"/>
      <c r="I50" s="18" t="n"/>
      <c r="J50" s="18" t="n"/>
    </row>
    <row r="51">
      <c r="A51" s="11">
        <f>IF(F51="","",ROW()-4)</f>
        <v/>
      </c>
      <c r="B51" s="18" t="n"/>
      <c r="C51" s="18" t="n"/>
      <c r="D51" s="18" t="n"/>
      <c r="E51" s="18" t="n"/>
      <c r="F51" s="18" t="n"/>
      <c r="G51" s="18" t="n"/>
      <c r="H51" s="18" t="n"/>
      <c r="I51" s="18" t="n"/>
      <c r="J51" s="18" t="n"/>
    </row>
    <row r="52">
      <c r="A52" s="11">
        <f>IF(F52="","",ROW()-4)</f>
        <v/>
      </c>
      <c r="B52" s="18" t="n"/>
      <c r="C52" s="18" t="n"/>
      <c r="D52" s="18" t="n"/>
      <c r="E52" s="18" t="n"/>
      <c r="F52" s="18" t="n"/>
      <c r="G52" s="18" t="n"/>
      <c r="H52" s="18" t="n"/>
      <c r="I52" s="18" t="n"/>
      <c r="J52" s="18" t="n"/>
    </row>
    <row r="53">
      <c r="A53" s="11">
        <f>IF(F53="","",ROW()-4)</f>
        <v/>
      </c>
      <c r="B53" s="18" t="n"/>
      <c r="C53" s="18" t="n"/>
      <c r="D53" s="18" t="n"/>
      <c r="E53" s="18" t="n"/>
      <c r="F53" s="18" t="n"/>
      <c r="G53" s="18" t="n"/>
      <c r="H53" s="18" t="n"/>
      <c r="I53" s="18" t="n"/>
      <c r="J53" s="18" t="n"/>
    </row>
    <row r="54">
      <c r="A54" s="11">
        <f>IF(F54="","",ROW()-4)</f>
        <v/>
      </c>
      <c r="B54" s="18" t="n"/>
      <c r="C54" s="18" t="n"/>
      <c r="D54" s="18" t="n"/>
      <c r="E54" s="18" t="n"/>
      <c r="F54" s="18" t="n"/>
      <c r="G54" s="18" t="n"/>
      <c r="H54" s="18" t="n"/>
      <c r="I54" s="18" t="n"/>
      <c r="J54" s="18" t="n"/>
    </row>
    <row r="55">
      <c r="A55" s="11">
        <f>IF(F55="","",ROW()-4)</f>
        <v/>
      </c>
      <c r="B55" s="18" t="n"/>
      <c r="C55" s="18" t="n"/>
      <c r="D55" s="18" t="n"/>
      <c r="E55" s="18" t="n"/>
      <c r="F55" s="18" t="n"/>
      <c r="G55" s="18" t="n"/>
      <c r="H55" s="18" t="n"/>
      <c r="I55" s="18" t="n"/>
      <c r="J55" s="18" t="n"/>
    </row>
    <row r="56">
      <c r="A56" s="11">
        <f>IF(F56="","",ROW()-4)</f>
        <v/>
      </c>
      <c r="B56" s="18" t="n"/>
      <c r="C56" s="18" t="n"/>
      <c r="D56" s="18" t="n"/>
      <c r="E56" s="18" t="n"/>
      <c r="F56" s="18" t="n"/>
      <c r="G56" s="18" t="n"/>
      <c r="H56" s="18" t="n"/>
      <c r="I56" s="18" t="n"/>
      <c r="J56" s="18" t="n"/>
    </row>
    <row r="57">
      <c r="A57" s="11">
        <f>IF(F57="","",ROW()-4)</f>
        <v/>
      </c>
      <c r="B57" s="18" t="n"/>
      <c r="C57" s="18" t="n"/>
      <c r="D57" s="18" t="n"/>
      <c r="E57" s="18" t="n"/>
      <c r="F57" s="18" t="n"/>
      <c r="G57" s="18" t="n"/>
      <c r="H57" s="18" t="n"/>
      <c r="I57" s="18" t="n"/>
      <c r="J57" s="18" t="n"/>
    </row>
    <row r="58">
      <c r="A58" s="11">
        <f>IF(F58="","",ROW()-4)</f>
        <v/>
      </c>
      <c r="B58" s="18" t="n"/>
      <c r="C58" s="18" t="n"/>
      <c r="D58" s="18" t="n"/>
      <c r="E58" s="18" t="n"/>
      <c r="F58" s="18" t="n"/>
      <c r="G58" s="18" t="n"/>
      <c r="H58" s="18" t="n"/>
      <c r="I58" s="18" t="n"/>
      <c r="J58" s="18" t="n"/>
    </row>
    <row r="59">
      <c r="A59" s="11">
        <f>IF(F59="","",ROW()-4)</f>
        <v/>
      </c>
      <c r="B59" s="18" t="n"/>
      <c r="C59" s="18" t="n"/>
      <c r="D59" s="18" t="n"/>
      <c r="E59" s="18" t="n"/>
      <c r="F59" s="18" t="n"/>
      <c r="G59" s="18" t="n"/>
      <c r="H59" s="18" t="n"/>
      <c r="I59" s="18" t="n"/>
      <c r="J59" s="18" t="n"/>
    </row>
    <row r="60">
      <c r="A60" s="11">
        <f>IF(F60="","",ROW()-4)</f>
        <v/>
      </c>
      <c r="B60" s="18" t="n"/>
      <c r="C60" s="18" t="n"/>
      <c r="D60" s="18" t="n"/>
      <c r="E60" s="18" t="n"/>
      <c r="F60" s="18" t="n"/>
      <c r="G60" s="18" t="n"/>
      <c r="H60" s="18" t="n"/>
      <c r="I60" s="18" t="n"/>
      <c r="J60" s="18" t="n"/>
    </row>
    <row r="61">
      <c r="A61" s="11">
        <f>IF(F61="","",ROW()-4)</f>
        <v/>
      </c>
      <c r="B61" s="18" t="n"/>
      <c r="C61" s="18" t="n"/>
      <c r="D61" s="18" t="n"/>
      <c r="E61" s="18" t="n"/>
      <c r="F61" s="18" t="n"/>
      <c r="G61" s="18" t="n"/>
      <c r="H61" s="18" t="n"/>
      <c r="I61" s="18" t="n"/>
      <c r="J61" s="18" t="n"/>
    </row>
    <row r="62">
      <c r="A62" s="11">
        <f>IF(F62="","",ROW()-4)</f>
        <v/>
      </c>
      <c r="B62" s="18" t="n"/>
      <c r="C62" s="18" t="n"/>
      <c r="D62" s="18" t="n"/>
      <c r="E62" s="18" t="n"/>
      <c r="F62" s="18" t="n"/>
      <c r="G62" s="18" t="n"/>
      <c r="H62" s="18" t="n"/>
      <c r="I62" s="18" t="n"/>
      <c r="J62" s="18" t="n"/>
    </row>
    <row r="63">
      <c r="A63" s="11">
        <f>IF(F63="","",ROW()-4)</f>
        <v/>
      </c>
      <c r="B63" s="18" t="n"/>
      <c r="C63" s="18" t="n"/>
      <c r="D63" s="18" t="n"/>
      <c r="E63" s="18" t="n"/>
      <c r="F63" s="18" t="n"/>
      <c r="G63" s="18" t="n"/>
      <c r="H63" s="18" t="n"/>
      <c r="I63" s="18" t="n"/>
      <c r="J63" s="18" t="n"/>
    </row>
    <row r="64">
      <c r="A64" s="11">
        <f>IF(F64="","",ROW()-4)</f>
        <v/>
      </c>
      <c r="B64" s="18" t="n"/>
      <c r="C64" s="18" t="n"/>
      <c r="D64" s="18" t="n"/>
      <c r="E64" s="18" t="n"/>
      <c r="F64" s="18" t="n"/>
      <c r="G64" s="18" t="n"/>
      <c r="H64" s="18" t="n"/>
      <c r="I64" s="18" t="n"/>
      <c r="J64" s="18" t="n"/>
    </row>
  </sheetData>
  <dataValidations count="3">
    <dataValidation sqref="H5 H6 H7 H8 H9 H10 H11 H12 H13 H14 H15 H16 H17 H18 H19 H20 H21 H22 H23 H24 H25 H26 H27 H28 H29 H30 H31 H32 H33 H34 H35 H36 H37 H38 H39 H40 H41 H42 H43 H44 H45 H46 H47 H48 H49 H50 H51 H52 H53 H54 H55 H56 H57 H58 H59 H60 H61 H62 H63 H64" showDropDown="0" showInputMessage="0" showErrorMessage="0" allowBlank="1" type="list">
      <formula1>"Blocker,Major,Minor,Suggestion"</formula1>
    </dataValidation>
    <dataValidation sqref="I5 I6 I7 I8 I9 I10 I11 I12 I13 I14 I15 I16 I17 I18 I19 I20 I21 I22 I23 I24 I25 I26 I27 I28 I29 I30 I31 I32 I33 I34 I35 I36 I37 I38 I39 I40 I41 I42 I43 I44 I45 I46 I47 I48 I49 I50 I51 I52 I53 I54 I55 I56 I57 I58 I59 I60 I61 I62 I63 I64" showDropDown="0" showInputMessage="0" showErrorMessage="0" allowBlank="1" type="list">
      <formula1>"Open,Fixed,Needs decision,Won't fix"</formula1>
    </dataValidation>
    <dataValidation sqref="C5 C6 C7 C8 C9 C10 C11 C12 C13 C14 C15 C16 C17 C18 C19 C20 C21 C22 C23 C24 C25 C26 C27 C28 C29 C30 C31 C32 C33 C34 C35 C36 C37 C38 C39 C40 C41 C42 C43 C44 C45 C46 C47 C48 C49 C50 C51 C52 C53 C54 C55 C56 C57 C58 C59 C60 C61 C62 C63 C64" showDropDown="0" showInputMessage="0" showErrorMessage="0" allowBlank="1" type="list">
      <formula1>"Staff,Head,Admin"</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34"/>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Summary</t>
        </is>
      </c>
    </row>
    <row r="2">
      <c r="A2" s="2" t="inlineStr">
        <is>
          <t>Calculated from the other sheets. Do not type here.</t>
        </is>
      </c>
    </row>
    <row r="4">
      <c r="A4" s="19" t="inlineStr">
        <is>
          <t>By role</t>
        </is>
      </c>
    </row>
    <row r="5">
      <c r="A5" s="6" t="inlineStr">
        <is>
          <t>Measure</t>
        </is>
      </c>
      <c r="B5" s="6" t="inlineStr">
        <is>
          <t>Staff</t>
        </is>
      </c>
      <c r="C5" s="6" t="inlineStr">
        <is>
          <t>Head</t>
        </is>
      </c>
      <c r="D5" s="6" t="inlineStr">
        <is>
          <t>Admin</t>
        </is>
      </c>
    </row>
    <row r="6">
      <c r="A6" s="4" t="inlineStr">
        <is>
          <t>Testers with a SUS score</t>
        </is>
      </c>
      <c r="B6" s="11">
        <f>COUNTIFS(SUS!$B$5:$B$34,"Staff",SUS!$M$5:$M$34,"&gt;=0")</f>
        <v/>
      </c>
      <c r="C6" s="11">
        <f>COUNTIFS(SUS!$B$5:$B$34,"Head",SUS!$M$5:$M$34,"&gt;=0")</f>
        <v/>
      </c>
      <c r="D6" s="11">
        <f>COUNTIFS(SUS!$B$5:$B$34,"Admin",SUS!$M$5:$M$34,"&gt;=0")</f>
        <v/>
      </c>
    </row>
    <row r="7">
      <c r="A7" s="4" t="inlineStr">
        <is>
          <t>Key-task pass rate (average of ★ tasks)</t>
        </is>
      </c>
      <c r="B7" s="20">
        <f>IFERROR(AVERAGEIFS(Staff!B21:P21,Staff!B4:P4,"★"),"no data yet")</f>
        <v/>
      </c>
      <c r="C7" s="20">
        <f>IFERROR(AVERAGEIFS(Head!B21:K21,Head!B4:K4,"★"),"no data yet")</f>
        <v/>
      </c>
      <c r="D7" s="20">
        <f>IFERROR(AVERAGEIFS(Admin!B21:L21,Admin!B4:L4,"★"),"no data yet")</f>
        <v/>
      </c>
    </row>
    <row r="8">
      <c r="A8" s="4" t="inlineStr">
        <is>
          <t>All-task pass rate (average)</t>
        </is>
      </c>
      <c r="B8" s="20">
        <f>IFERROR(AVERAGE(Staff!B21:P21),"no data yet")</f>
        <v/>
      </c>
      <c r="C8" s="20">
        <f>IFERROR(AVERAGE(Head!B21:K21),"no data yet")</f>
        <v/>
      </c>
      <c r="D8" s="20">
        <f>IFERROR(AVERAGE(Admin!B21:L21),"no data yet")</f>
        <v/>
      </c>
    </row>
    <row r="9">
      <c r="A9" s="4" t="inlineStr">
        <is>
          <t>Average minutes per task</t>
        </is>
      </c>
      <c r="B9" s="17">
        <f>IFERROR(AVERAGE(Staff!B37:P37),"no data yet")</f>
        <v/>
      </c>
      <c r="C9" s="17">
        <f>IFERROR(AVERAGE(Head!B37:K37),"no data yet")</f>
        <v/>
      </c>
      <c r="D9" s="17">
        <f>IFERROR(AVERAGE(Admin!B37:L37),"no data yet")</f>
        <v/>
      </c>
    </row>
    <row r="10">
      <c r="A10" s="4" t="inlineStr">
        <is>
          <t>Hints given (total)</t>
        </is>
      </c>
      <c r="B10" s="11">
        <f>SUM(Staff!B53:P53)</f>
        <v/>
      </c>
      <c r="C10" s="11">
        <f>SUM(Head!B53:K53)</f>
        <v/>
      </c>
      <c r="D10" s="11">
        <f>SUM(Admin!B53:L53)</f>
        <v/>
      </c>
    </row>
    <row r="11">
      <c r="A11" s="4" t="inlineStr">
        <is>
          <t>Average SUS score</t>
        </is>
      </c>
      <c r="B11" s="17">
        <f>IFERROR(AVERAGEIFS(SUS!$M$5:$M$34,SUS!$B$5:$B$34,"Staff"),"no data yet")</f>
        <v/>
      </c>
      <c r="C11" s="17">
        <f>IFERROR(AVERAGEIFS(SUS!$M$5:$M$34,SUS!$B$5:$B$34,"Head"),"no data yet")</f>
        <v/>
      </c>
      <c r="D11" s="17">
        <f>IFERROR(AVERAGEIFS(SUS!$M$5:$M$34,SUS!$B$5:$B$34,"Admin"),"no data yet")</f>
        <v/>
      </c>
    </row>
    <row r="13">
      <c r="A13" s="19" t="inlineStr">
        <is>
          <t>All testers</t>
        </is>
      </c>
    </row>
    <row r="14">
      <c r="A14" s="6" t="inlineStr">
        <is>
          <t>Measure</t>
        </is>
      </c>
      <c r="B14" s="6" t="inlineStr">
        <is>
          <t>Value</t>
        </is>
      </c>
    </row>
    <row r="15">
      <c r="A15" s="4" t="inlineStr">
        <is>
          <t>Average SUS score</t>
        </is>
      </c>
      <c r="B15" s="17">
        <f>IFERROR(AVERAGE(SUS!M5:M34),"no data yet")</f>
        <v/>
      </c>
      <c r="C15" s="7">
        <f>IF(ISNUMBER(B15),IF(B15&gt;=80,"Excellent",IF(B15&gt;=68,"Good",IF(B15&gt;=51,"Below average","Poor"))),"")</f>
        <v/>
      </c>
    </row>
    <row r="16">
      <c r="A16" s="7" t="inlineStr">
        <is>
          <t>Usefulness U1: Easier to know where a folder is</t>
        </is>
      </c>
      <c r="B16" s="17">
        <f>IFERROR(AVERAGE(Usefulness!C5:C34),"no data yet")</f>
        <v/>
      </c>
    </row>
    <row r="17">
      <c r="A17" s="7" t="inlineStr">
        <is>
          <t>Usefulness U2: Would save time</t>
        </is>
      </c>
      <c r="B17" s="17">
        <f>IFERROR(AVERAGE(Usefulness!D5:D34),"no data yet")</f>
        <v/>
      </c>
    </row>
    <row r="18">
      <c r="A18" s="7" t="inlineStr">
        <is>
          <t>Usefulness U3: Alerts and reports show what needs attention</t>
        </is>
      </c>
      <c r="B18" s="17">
        <f>IFERROR(AVERAGE(Usefulness!E5:E34),"no data yet")</f>
        <v/>
      </c>
    </row>
    <row r="19">
      <c r="A19" s="7" t="inlineStr">
        <is>
          <t>Usefulness U4: I trust the history records</t>
        </is>
      </c>
      <c r="B19" s="17">
        <f>IFERROR(AVERAGE(Usefulness!F5:F34),"no data yet")</f>
        <v/>
      </c>
    </row>
    <row r="20">
      <c r="A20" s="7" t="inlineStr">
        <is>
          <t>Usefulness U5: Would recommend it</t>
        </is>
      </c>
      <c r="B20" s="17">
        <f>IFERROR(AVERAGE(Usefulness!G5:G34),"no data yet")</f>
        <v/>
      </c>
    </row>
    <row r="22">
      <c r="A22" s="19" t="inlineStr">
        <is>
          <t>Problems</t>
        </is>
      </c>
    </row>
    <row r="23">
      <c r="A23" s="6" t="inlineStr">
        <is>
          <t>Severity</t>
        </is>
      </c>
      <c r="B23" s="6" t="inlineStr">
        <is>
          <t>All logged</t>
        </is>
      </c>
      <c r="C23" s="6" t="inlineStr">
        <is>
          <t>Unresolved</t>
        </is>
      </c>
    </row>
    <row r="24">
      <c r="A24" s="4" t="inlineStr">
        <is>
          <t>Blocker</t>
        </is>
      </c>
      <c r="B24" s="11">
        <f>COUNTIF(Issues!$H$5:$H$64,"Blocker")</f>
        <v/>
      </c>
      <c r="C24" s="11">
        <f>COUNTIFS(Issues!$H$5:$H$64,"Blocker",Issues!$I$5:$I$64,"&lt;&gt;Fixed",Issues!$I$5:$I$64,"&lt;&gt;Won't fix")</f>
        <v/>
      </c>
    </row>
    <row r="25">
      <c r="A25" s="4" t="inlineStr">
        <is>
          <t>Major</t>
        </is>
      </c>
      <c r="B25" s="11">
        <f>COUNTIF(Issues!$H$5:$H$64,"Major")</f>
        <v/>
      </c>
      <c r="C25" s="11">
        <f>COUNTIFS(Issues!$H$5:$H$64,"Major",Issues!$I$5:$I$64,"&lt;&gt;Fixed",Issues!$I$5:$I$64,"&lt;&gt;Won't fix")</f>
        <v/>
      </c>
    </row>
    <row r="26">
      <c r="A26" s="4" t="inlineStr">
        <is>
          <t>Minor</t>
        </is>
      </c>
      <c r="B26" s="11">
        <f>COUNTIF(Issues!$H$5:$H$64,"Minor")</f>
        <v/>
      </c>
      <c r="C26" s="11">
        <f>COUNTIFS(Issues!$H$5:$H$64,"Minor",Issues!$I$5:$I$64,"&lt;&gt;Fixed",Issues!$I$5:$I$64,"&lt;&gt;Won't fix")</f>
        <v/>
      </c>
    </row>
    <row r="27">
      <c r="A27" s="4" t="inlineStr">
        <is>
          <t>Suggestion</t>
        </is>
      </c>
      <c r="B27" s="11">
        <f>COUNTIF(Issues!$H$5:$H$64,"Suggestion")</f>
        <v/>
      </c>
      <c r="C27" s="11">
        <f>COUNTIFS(Issues!$H$5:$H$64,"Suggestion",Issues!$I$5:$I$64,"&lt;&gt;Fixed",Issues!$I$5:$I$64,"&lt;&gt;Won't fix")</f>
        <v/>
      </c>
    </row>
    <row r="29">
      <c r="A29" s="19" t="inlineStr">
        <is>
          <t>Exit criteria (proposed in the Facilitator Guide)</t>
        </is>
      </c>
    </row>
    <row r="30">
      <c r="A30" s="6" t="inlineStr">
        <is>
          <t>Criterion</t>
        </is>
      </c>
      <c r="B30" s="6" t="inlineStr">
        <is>
          <t>Status</t>
        </is>
      </c>
    </row>
    <row r="31">
      <c r="A31" s="21" t="inlineStr">
        <is>
          <t>1. Every role: at least 90% of testers pass each key task (★)</t>
        </is>
      </c>
      <c r="B31" s="22">
        <f>IF(COUNT(B7:D7)&lt;3,"Not enough data",IF(MIN(B7:D7)&gt;=0.9,"Met","Not met"))</f>
        <v/>
      </c>
    </row>
    <row r="32">
      <c r="A32" s="21" t="inlineStr">
        <is>
          <t>2. No Blocker problem is unresolved</t>
        </is>
      </c>
      <c r="B32" s="22">
        <f>IF(SUM(B6:D6)=0,"Not enough data",IF(C24=0,"Met","Not met"))</f>
        <v/>
      </c>
    </row>
    <row r="33">
      <c r="A33" s="21" t="inlineStr">
        <is>
          <t>3. Average SUS score is at least 68</t>
        </is>
      </c>
      <c r="B33" s="22">
        <f>IF(ISNUMBER(B15),IF(B15&gt;=68,"Met","Not met"),"Not enough data")</f>
        <v/>
      </c>
    </row>
    <row r="34">
      <c r="A34" s="21" t="inlineStr">
        <is>
          <t>4. Every Major problem is fixed or has a written decision</t>
        </is>
      </c>
      <c r="B34" s="22">
        <f>IF(SUM(B6:D6)=0,"Not enough data",IF(C25=0,"Met","Not met"))</f>
        <v/>
      </c>
    </row>
  </sheetData>
  <conditionalFormatting sqref="B31:B34">
    <cfRule type="cellIs" priority="1" operator="equal" dxfId="0">
      <formula>"Met"</formula>
    </cfRule>
    <cfRule type="cellIs" priority="2" operator="equal" dxfId="1">
      <formula>"Not met"</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2026-10-26T09:03:44Z</dcterms:created>
  <dcterms:modified xsi:type="dcterms:W3CDTF">2026-10-26T09:03:44Z</dcterms:modified>
</cp:coreProperties>
</file>